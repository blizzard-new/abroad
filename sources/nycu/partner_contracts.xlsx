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dated 8 Sep. 2026" sheetId="1" r:id="rId4"/>
    <sheet state="visible" name="標籤資料" sheetId="2" r:id="rId5"/>
    <sheet state="visible" name="名稱對照" sheetId="3" r:id="rId6"/>
  </sheets>
  <definedNames>
    <definedName name="北美洲">'標籤資料'!$B$2:$B$300</definedName>
    <definedName name="亞太地區">'標籤資料'!$G$2:$G$300</definedName>
    <definedName name="名稱_所屬洲別">'名稱對照'!$B$2:$B$1002</definedName>
    <definedName name="非洲">'標籤資料'!$D$2:$D$300</definedName>
    <definedName name="亞西地區">'標籤資料'!$F$2:$F$300</definedName>
    <definedName name="洲別">'標籤資料'!$A$2:$A$300</definedName>
    <definedName name="中南美洲">'標籤資料'!$C$2:$C$300</definedName>
    <definedName name="歐洲">'標籤資料'!$E$2:$E$300</definedName>
    <definedName hidden="1" localSheetId="0" name="Z_DD317CC3_68FC_4287_8FBE_A3F09FA20122_.wvu.FilterData">'Updated 8 Sep. 2026'!$A$1:$I$288</definedName>
    <definedName hidden="1" localSheetId="0" name="Z_920ACB55_E21B_4034_BC25_141469541EEA_.wvu.FilterData">'Updated 8 Sep. 2026'!$A$1:$I$407</definedName>
  </definedNames>
  <calcPr/>
  <customWorkbookViews>
    <customWorkbookView activeSheetId="0" maximized="1" windowHeight="0" windowWidth="0" guid="{DD317CC3-68FC-4287-8FBE-A3F09FA20122}" name="篩選器 2"/>
    <customWorkbookView activeSheetId="0" maximized="1" windowHeight="0" windowWidth="0" guid="{920ACB55-E21B-4034-BC25-141469541EEA}" name="篩選器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0">
      <text>
        <t xml:space="preserve">[院級] 管理學院
College of Management</t>
      </text>
    </comment>
    <comment authorId="0" ref="F34">
      <text>
        <t xml:space="preserve">[院級] 科法學院
School of Law</t>
      </text>
    </comment>
    <comment authorId="0" ref="D315">
      <text>
        <t xml:space="preserve">[院級] 國際半導體產業學院 
International College of Semiconductor Technology</t>
      </text>
    </comment>
    <comment authorId="0" ref="E315">
      <text>
        <t xml:space="preserve">[院級] 國際半導體產業學院 
International College of Semiconductor Technology</t>
      </text>
    </comment>
    <comment authorId="0" ref="D249">
      <text>
        <t xml:space="preserve">[校級] University (including Liaison Offices and Joint Campus)
[院級] 生物醫學暨工程學院 College of Biomedical Science and Engineering
[院級] 牙醫學院 College of Dentistry 含 JRCSD
[院級] 醫學院 College of Medicine</t>
      </text>
    </comment>
    <comment authorId="0" ref="E249">
      <text>
        <t xml:space="preserve">[校級] University
[院級] 醫學院 College of Medicine</t>
      </text>
    </comment>
    <comment authorId="0" ref="F249">
      <text>
        <t xml:space="preserve">[院級] 電機院、工學院、理學院、半導體學院
College of Electrical and Computer Engineering, College of Engineering, College of Science, International College of Semiconductor Technology</t>
      </text>
    </comment>
    <comment authorId="0" ref="D51">
      <text>
        <t xml:space="preserve">[校級]University
[院級]醫學院College of Medicine</t>
      </text>
    </comment>
    <comment authorId="0" ref="D398">
      <text>
        <t xml:space="preserve">[校級]University
[院級]牙醫學院College of Dentistry</t>
      </text>
    </comment>
    <comment authorId="0" ref="D365">
      <text>
        <t xml:space="preserve">[院級] 工學院
College of Engineering</t>
      </text>
    </comment>
    <comment authorId="0" ref="D332">
      <text>
        <t xml:space="preserve">[校級] University
[院級] 醫學院
College of Medicine
[院級]生命科學院
College of Life Science
[院級]藥物科學院
College of Pharmaceutical Sciences</t>
      </text>
    </comment>
    <comment authorId="0" ref="D299">
      <text>
        <t xml:space="preserve">[院級] 管院
College of Management</t>
      </text>
    </comment>
    <comment authorId="0" ref="D101">
      <text>
        <t xml:space="preserve">[院級] 管理學院
College of Management</t>
      </text>
    </comment>
    <comment authorId="0" ref="D68">
      <text>
        <t xml:space="preserve">[院級]醫學院
College of Medicine</t>
      </text>
    </comment>
    <comment authorId="0" ref="E101">
      <text>
        <t xml:space="preserve">[院級] 管理學院
College of Management</t>
      </text>
    </comment>
    <comment authorId="0" ref="F134">
      <text>
        <t xml:space="preserve">[所級] 運管所
Dept. of Transportation and Logistics Management Master Program</t>
      </text>
    </comment>
    <comment authorId="0" ref="D35">
      <text>
        <t xml:space="preserve">[中心級] 電子與資訊研究中心
Microelectronics and Information Research Center
[院級] 國際半導體產業學院
International College of Semiconductor Technology</t>
      </text>
    </comment>
    <comment authorId="0" ref="F35">
      <text>
        <t xml:space="preserve">[院級] 半導體學院 
International College of Semiconductor Technology</t>
      </text>
    </comment>
    <comment authorId="0" ref="D382">
      <text>
        <t xml:space="preserve">[系級] 傳科系
Department of Communication and Technology
[院級]護理學院
College of Nursing</t>
      </text>
    </comment>
    <comment authorId="0" ref="E382">
      <text>
        <t xml:space="preserve">[院級] 管理學院
College of Management
[系級] 傳科系
Department of Communication and Technology</t>
      </text>
    </comment>
    <comment authorId="0" ref="D316">
      <text>
        <t xml:space="preserve">[院級] 電機學院 
College of Electrical and Computer Engineering</t>
      </text>
    </comment>
    <comment authorId="0" ref="D283">
      <text>
        <t xml:space="preserve">[院級]藥科院College of Pharmaceutical Sciences</t>
      </text>
    </comment>
    <comment authorId="0" ref="F349">
      <text>
        <t xml:space="preserve">[院級] 理學院
College of Science</t>
      </text>
    </comment>
    <comment authorId="0" ref="E151">
      <text>
        <t xml:space="preserve">[校級] University
[院級] 管理學院
College of Management</t>
      </text>
    </comment>
    <comment authorId="0" ref="E118">
      <text>
        <t xml:space="preserve">[院級] 電機院、資訊院
College of Electrical and Computer Engineering &amp; College of Computer Science</t>
      </text>
    </comment>
    <comment authorId="0" ref="D399">
      <text>
        <t xml:space="preserve">[系所中心] 微生物暨免疫學研究所 Institute of Microbiology Immunology</t>
      </text>
    </comment>
    <comment authorId="0" ref="D366">
      <text>
        <t xml:space="preserve">[院級] 工學院
College of Engineering</t>
      </text>
    </comment>
    <comment authorId="0" ref="D333">
      <text>
        <t xml:space="preserve">[院級] 醫工院
College of Biomedical Science and Engineering</t>
      </text>
    </comment>
    <comment authorId="0" ref="D300">
      <text>
        <t xml:space="preserve">[系級] 電機資訊國際學位學程
EECS International Graduate Program</t>
      </text>
    </comment>
    <comment authorId="0" ref="D234">
      <text>
        <t xml:space="preserve">[院級] 人社院
College of Humanities and Social Sciences</t>
      </text>
    </comment>
    <comment authorId="0" ref="D201">
      <text>
        <t xml:space="preserve">[院級] 生命科學院 College of Life Sciences</t>
      </text>
    </comment>
    <comment authorId="0" ref="E234">
      <text>
        <t xml:space="preserve">[院級] 人社院
College of Humanities and Social Sciences</t>
      </text>
    </comment>
    <comment authorId="0" ref="E135">
      <text>
        <t xml:space="preserve">[院級] 電機院、資訊院、光電院
College of Electrical and Computer Engineering, College of Computer Science, College of Photonics</t>
      </text>
    </comment>
    <comment authorId="0" ref="D69">
      <text>
        <t xml:space="preserve">[校級]University
[系級]物理治療暨輔助科技學系
Department of Physical Therapy and Assistive Technology</t>
      </text>
    </comment>
    <comment authorId="0" ref="F135">
      <text>
        <t xml:space="preserve">[系級] 電子系
Department of Electronics Engineering</t>
      </text>
    </comment>
    <comment authorId="0" ref="D36">
      <text>
        <t xml:space="preserve">[院級] 醫學院
College of Medicine
[校級] UIUC工學院
Grainger College of Engineering
[校級] UIUC-Discovery Partners Institute</t>
      </text>
    </comment>
    <comment authorId="0" ref="E36">
      <text>
        <t xml:space="preserve">[院級] 電機院、資訊院、工學院
College of Electrical and Computer Engineering, College of Computer Science, College of Engineering</t>
      </text>
    </comment>
    <comment authorId="0" ref="F36">
      <text>
        <t xml:space="preserve">(1) [系級] 材料科學與工程學系
Dept. of Material Science and Engineering
(2) [院級] 資訊院
College of Computer Science</t>
      </text>
    </comment>
    <comment authorId="0" ref="H69">
      <text>
        <t xml:space="preserve">Field: 物理治療Physical Therapy
</t>
      </text>
    </comment>
    <comment authorId="0" ref="D350">
      <text>
        <t xml:space="preserve">[校級] University
[系所級] 電子物理學系
Department of Electrophysics</t>
      </text>
    </comment>
    <comment authorId="0" ref="E383">
      <text>
        <t xml:space="preserve">[院級] 管院
College of Management</t>
      </text>
    </comment>
    <comment authorId="0" ref="D317">
      <text>
        <t xml:space="preserve">[院級] 生物醫學暨工程學院 
College of Biomedical Science and Engineering</t>
      </text>
    </comment>
    <comment authorId="0" ref="D251">
      <text>
        <t xml:space="preserve">[校級] University
[校級] University &amp; 
台灣半導體研究中心
National Institutes of Applied Research (TSRI)</t>
      </text>
    </comment>
    <comment authorId="0" ref="D152">
      <text>
        <t xml:space="preserve">[院級] 醫學院
College of Medicine</t>
      </text>
    </comment>
    <comment authorId="0" ref="E185">
      <text>
        <t xml:space="preserve">[院級] 工學院
College of Engineering</t>
      </text>
    </comment>
    <comment authorId="0" ref="D86">
      <text>
        <t xml:space="preserve">[校級] University
[院級] 科法院 School of Law</t>
      </text>
    </comment>
    <comment authorId="0" ref="D53">
      <text>
        <t xml:space="preserve">[系級]物理治療暨輔助科技學系
Department of Physical Therapy and Assistive Technology</t>
      </text>
    </comment>
    <comment authorId="0" ref="E53">
      <text>
        <t xml:space="preserve">[系級]物理治療暨輔助科技學系
Department of Physical Therapy and Assistive Technology</t>
      </text>
    </comment>
    <comment authorId="0" ref="D400">
      <text>
        <t xml:space="preserve">[院級]資訊學院
College of Computer Science</t>
      </text>
    </comment>
    <comment authorId="0" ref="D367">
      <text>
        <t xml:space="preserve">[系所級] 社會與文化研究所
Institute of Social Research and Culture Studies</t>
      </text>
    </comment>
    <comment authorId="0" ref="D334">
      <text>
        <t xml:space="preserve">[院級] 管理學院
College of Management</t>
      </text>
    </comment>
    <comment authorId="0" ref="D301">
      <text>
        <t xml:space="preserve">[系級] 國際衛生學程International Health Program</t>
      </text>
    </comment>
    <comment authorId="0" ref="D268">
      <text>
        <t xml:space="preserve">[院級] 客家院
College of Hakka Studies
[所級] 應藝所
Institute of Applied Arts</t>
      </text>
    </comment>
    <comment authorId="0" ref="D235">
      <text>
        <t xml:space="preserve">[院級] 人社院
College of Humanities and Social Sciences</t>
      </text>
    </comment>
    <comment authorId="0" ref="E235">
      <text>
        <t xml:space="preserve">[院級] 人社院
College of Humanities and Social Sciences</t>
      </text>
    </comment>
    <comment authorId="0" ref="E202">
      <text>
        <t xml:space="preserve">[校級] University
[院級] 電機院、資訊院
College of Electrical and Computer Engineering &amp; College of Computer Science</t>
      </text>
    </comment>
    <comment authorId="0" ref="D136">
      <text>
        <t xml:space="preserve">[院級] 電機院
College of Electrical and Computer Engineering</t>
      </text>
    </comment>
    <comment authorId="0" ref="D103">
      <text>
        <t xml:space="preserve">[院級] 管理學院
College of Management</t>
      </text>
    </comment>
    <comment authorId="0" ref="E103">
      <text>
        <t xml:space="preserve">[院級] 管理學院
College of Management</t>
      </text>
    </comment>
    <comment authorId="0" ref="D37">
      <text>
        <t xml:space="preserve">[校級] University
[院級] 醫學院
College of Medicine</t>
      </text>
    </comment>
    <comment authorId="0" ref="F70">
      <text>
        <t xml:space="preserve">[系所級] 物理治療暨輔助科技學系
Department of Physical Therapy and Assistive Technology</t>
      </text>
    </comment>
    <comment authorId="0" ref="F37">
      <text>
        <t xml:space="preserve">[系級] 土木工程學系
Dept. of Civil Engineering</t>
      </text>
    </comment>
    <comment authorId="0" ref="D351">
      <text>
        <t xml:space="preserve">[院級]牙醫學院
College of Dentistry
[院級]生物醫學暨工程學院
College of Biomedical Science and Engineering</t>
      </text>
    </comment>
    <comment authorId="0" ref="D318">
      <text>
        <t xml:space="preserve">[院級] 管理學院 
College of Management</t>
      </text>
    </comment>
    <comment authorId="0" ref="F384">
      <text>
        <t xml:space="preserve">[校級] University
[院級] 管院
College of Management</t>
      </text>
    </comment>
    <comment authorId="0" ref="D186">
      <text>
        <t xml:space="preserve">[院級] 理學院
College of Science</t>
      </text>
    </comment>
    <comment authorId="0" ref="D120">
      <text>
        <t xml:space="preserve">[院級] 管理學院
College of Management</t>
      </text>
    </comment>
    <comment authorId="0" ref="E120">
      <text>
        <t xml:space="preserve">[院級] 管理學院
College of Management</t>
      </text>
    </comment>
    <comment authorId="0" ref="H54">
      <text>
        <t xml:space="preserve">[院級] 醫學院 College of Medicine</t>
      </text>
    </comment>
    <comment authorId="0" ref="D368">
      <text>
        <t xml:space="preserve">[院級] 醫學院
College of Medicine</t>
      </text>
    </comment>
    <comment authorId="0" ref="D302">
      <text>
        <t xml:space="preserve">[系級] 電機資訊國際學位學程
EECS International Graduate Program</t>
      </text>
    </comment>
    <comment authorId="0" ref="D269">
      <text>
        <t xml:space="preserve">[院級] 理學院
College of Science</t>
      </text>
    </comment>
    <comment authorId="0" ref="F335">
      <text>
        <t xml:space="preserve">[校級] University
[院級] 電機院、資訊院
College of Electrical and Computer Engineering &amp; College of Computer Science
[所級]藥理所Institute of Pharmacology</t>
      </text>
    </comment>
    <comment authorId="0" ref="C104">
      <text>
        <t xml:space="preserve">原: 信息處理科學國際學院
Former: Ecole Internationale des Sciences du Traitement de Information (EISTI)</t>
      </text>
    </comment>
    <comment authorId="0" ref="E170">
      <text>
        <t xml:space="preserve">[院級]工程生物科學院
College of Engineering Bioscience</t>
      </text>
    </comment>
    <comment authorId="0" ref="F203">
      <text>
        <t xml:space="preserve">[院級] 國際半導體產業學院
International College of Semiconductor Technology (ICST)</t>
      </text>
    </comment>
    <comment authorId="0" ref="F38">
      <text>
        <t xml:space="preserve">[院級] 電機院
College of Electrical and Computer Engineering</t>
      </text>
    </comment>
    <comment authorId="0" ref="D319">
      <text>
        <t xml:space="preserve">[院級] 醫學院College of Medicine
[院級] 護理學院College of Nursing</t>
      </text>
    </comment>
    <comment authorId="0" ref="E319">
      <text>
        <t xml:space="preserve">[校級] University
[院級] 電機院、資訊院
College of Electrical and Computer Engineering &amp; Computer Science
[院級] 人社院、客家院
College of Humanities and Social Sciences &amp; College of Hakka Studies
</t>
      </text>
    </comment>
    <comment authorId="0" ref="D187">
      <text>
        <t xml:space="preserve">[院級] 資訊院
College of Computer Science</t>
      </text>
    </comment>
    <comment authorId="0" ref="E187">
      <text>
        <t xml:space="preserve">[院級] 資訊院
College of Computer Science</t>
      </text>
    </comment>
    <comment authorId="0" ref="D121">
      <text>
        <t xml:space="preserve">[院級] 電機院
College of Electrical and Computer Engineering</t>
      </text>
    </comment>
    <comment authorId="0" ref="D55">
      <text>
        <t xml:space="preserve">[院級]醫學院College of Medicine</t>
      </text>
    </comment>
    <comment authorId="0" ref="D369">
      <text>
        <t xml:space="preserve">[院級] 藥物科學學院
College of Pharmaceutical Sciences</t>
      </text>
    </comment>
    <comment authorId="0" ref="D336">
      <text>
        <t xml:space="preserve">[院級]  工程生物科學院
College of Engineering Bioscience
[院級] 工學院
College of Engineering</t>
      </text>
    </comment>
    <comment authorId="0" ref="F402">
      <text>
        <t xml:space="preserve">[院級] 半導體學院
International College of Semiconductor Technology</t>
      </text>
    </comment>
    <comment authorId="0" ref="D270">
      <text>
        <t xml:space="preserve">[院級] 理學院
College of Science</t>
      </text>
    </comment>
    <comment authorId="0" ref="E270">
      <text>
        <t xml:space="preserve">[院級] 理學院
College of Science</t>
      </text>
    </comment>
    <comment authorId="0" ref="D6">
      <text>
        <t xml:space="preserve">[院級] 牙醫學院
College of Dentistry</t>
      </text>
    </comment>
    <comment authorId="0" ref="D386">
      <text>
        <t xml:space="preserve">[校級] University
[所級] 社文所、文化研究國際中心、亞際學程
Institute of Social Research and Culture Studies &amp; International Institute for Cultural Studies</t>
      </text>
    </comment>
    <comment authorId="0" ref="E386">
      <text>
        <t xml:space="preserve">[校級] University
[所級] 社文所、文化研究國際中心、亞際學程
Institute of Social Research and Culture Studies &amp; International Institute for Cultural Studies</t>
      </text>
    </comment>
    <comment authorId="0" ref="D320">
      <text>
        <t xml:space="preserve">[院級] 理學院、生科院
College of Science, College of Biological Science and Technology</t>
      </text>
    </comment>
    <comment authorId="0" ref="D287">
      <text>
        <t xml:space="preserve">[校級] University
[院級] 資訊院
College of Computer Science</t>
      </text>
    </comment>
    <comment authorId="0" ref="E320">
      <text>
        <t xml:space="preserve">[院級] 理學院、生科院
College of Science, College of Biological Science and Technology</t>
      </text>
    </comment>
    <comment authorId="0" ref="F353">
      <text>
        <t xml:space="preserve">[院級] 生命科學院
College of Life Science</t>
      </text>
    </comment>
    <comment authorId="0" ref="E188">
      <text>
        <t xml:space="preserve">Exchange fields:
Medicine, Public Health, Dentistry, Medical Biometry and Bioinformatics, Biophysics and Theoretical Physics, Biophotonics, Neuroscience, Natural Sciences </t>
      </text>
    </comment>
    <comment authorId="0" ref="D122">
      <text>
        <t xml:space="preserve">[院級] 管理學院
College of Management</t>
      </text>
    </comment>
    <comment authorId="0" ref="E122">
      <text>
        <t xml:space="preserve">[院級] 管理學院
College of Management</t>
      </text>
    </comment>
    <comment authorId="0" ref="D23">
      <text>
        <t xml:space="preserve">[院級] 電機院
College of Electrical and Computer Engineering</t>
      </text>
    </comment>
    <comment authorId="0" ref="F56">
      <text>
        <t xml:space="preserve">[院級] 管理學院
College of Management</t>
      </text>
    </comment>
    <comment authorId="0" ref="E23">
      <text>
        <t xml:space="preserve">[院級] 電機院
College of Electrical and Computer Engineering</t>
      </text>
    </comment>
    <comment authorId="0" ref="D337">
      <text>
        <t xml:space="preserve">[校級] University
[院級] 工程生物科學院、國際半導體產業學院
College of Engineering Bioscience,
International College of Semiconductor Technology</t>
      </text>
    </comment>
    <comment authorId="0" ref="E370">
      <text>
        <t xml:space="preserve">Applied Fields:
• College of Electrical and Computer Engineering
• College of Computer Science
• College of Science
• College of Engineering
• College of Management
• College of Humanities and Social Sciences
• School of Law (graduate programme only)
• International College of Semiconductor Technology (graduate programme only)
• College of Biological Science and Technology
• College of Hakka Studies
• College of Photonics (graduate programme only)
• College of Artificial Intelligence (graduate programme only)
• College of Biomedical Science and Engineering
• College of Life Sciences
• College of Humanities and Social Sciences
• College of Medicine</t>
      </text>
    </comment>
    <comment authorId="0" ref="E205">
      <text>
        <t xml:space="preserve">[系所級] 電機資訊國際學位學程
EECS International Masters and Doctoral Degree Program</t>
      </text>
    </comment>
    <comment authorId="0" ref="D106">
      <text>
        <t xml:space="preserve">[院級] 管理學院
College of Management</t>
      </text>
    </comment>
    <comment authorId="0" ref="E106">
      <text>
        <t xml:space="preserve">[院級] 管理學院
College of Management</t>
      </text>
    </comment>
    <comment authorId="0" ref="D354">
      <text>
        <t xml:space="preserve">[系級]國際衛生學程International Health Program</t>
      </text>
    </comment>
    <comment authorId="0" ref="E321">
      <text>
        <t xml:space="preserve">[校級] 台聯大系統 UST
[校級] University
[系級] 傳播科技系
Dept. of Communication and Technology</t>
      </text>
    </comment>
    <comment authorId="0" ref="E255">
      <text>
        <t xml:space="preserve">[院級] 管理學院
College of Management</t>
      </text>
    </comment>
    <comment authorId="0" ref="D189">
      <text>
        <t xml:space="preserve">[校級] University
[系級] 心智哲學研究所
Institute of Philosophy of Mind and Cognition</t>
      </text>
    </comment>
    <comment authorId="0" ref="E156">
      <text>
        <t xml:space="preserve">[院級] 管理學院
College of Management</t>
      </text>
    </comment>
    <comment authorId="0" ref="D90">
      <text>
        <t xml:space="preserve">[院級] 電機院、資訊院
College of Electrical and Computer Engineering &amp; College of Computer Science </t>
      </text>
    </comment>
    <comment authorId="0" ref="D57">
      <text>
        <t xml:space="preserve">[院級]醫學院College of Medicine</t>
      </text>
    </comment>
    <comment authorId="0" ref="E90">
      <text>
        <t xml:space="preserve">[院級] 電機院、資訊院 
College of Electrical and Computer Engineering &amp; College of Computer Science</t>
      </text>
    </comment>
    <comment authorId="0" ref="D24">
      <text>
        <t xml:space="preserve">[院級] 理學院
College of Science</t>
      </text>
    </comment>
    <comment authorId="0" ref="D404">
      <text>
        <t xml:space="preserve">[系級] 電機資訊國際學位學程
EECS International Graduate Program</t>
      </text>
    </comment>
    <comment authorId="0" ref="E371">
      <text>
        <t xml:space="preserve">[校級] University
[院級] 客家院、人社院
College of Hakka Studies &amp; College of Humanities and Social Sciences</t>
      </text>
    </comment>
    <comment authorId="0" ref="F404">
      <text>
        <t xml:space="preserve">[系級] 電機資訊國際學位學程
EECS International Graduate Program</t>
      </text>
    </comment>
    <comment authorId="0" ref="D272">
      <text>
        <t xml:space="preserve">[院級] 電機院、資訊院
College of Electronic and Computer Engineering, College of Computer Science
[院級] 管院
College of Management</t>
      </text>
    </comment>
    <comment authorId="0" ref="E272">
      <text>
        <t xml:space="preserve">[院級] 電機院、資訊院
College of Electronic and Computer Engineering, College of Computer Science</t>
      </text>
    </comment>
    <comment authorId="0" ref="D74">
      <text>
        <t xml:space="preserve">[院級] 藥物科學院
College of Pharmaceutical Sciences</t>
      </text>
    </comment>
    <comment authorId="0" ref="D41">
      <text>
        <t xml:space="preserve">[校級] University
[校級] KITDP
[校級] SWAP
[院級] 電機院、國半院、產創院、工學院、醫工院
College of Electrical and Computer Engineering, International College of Semiconductor Technology, Industry Academia Innovation School, 
College of Engineering,
College of Biomedical Science and Engineering</t>
      </text>
    </comment>
    <comment authorId="0" ref="F41">
      <text>
        <t xml:space="preserve">(1) [院級] 國際半導體產業學院、產學創新研究學院、 電機學院、工學院、理學院
International College of Semiconductor Technology, Industry Academia Innovation School (IAIS), 
College of Electrical and Computer Engineering, College of Engineering, College of Science
(2) [系級] 工業工程與管理學系 
Department of Industrial Engineering and Management</t>
      </text>
    </comment>
    <comment authorId="0" ref="F8">
      <text>
        <t xml:space="preserve">[院級] 科技法律學院
School of Law</t>
      </text>
    </comment>
    <comment authorId="0" ref="D322">
      <text>
        <t xml:space="preserve">[校級] University
[院級] 人社院
College of Humanities and Social Sciences
</t>
      </text>
    </comment>
    <comment authorId="0" ref="D289">
      <text>
        <t xml:space="preserve">[院級] 國際半導體產業學院
International College of Semiconductor Technology</t>
      </text>
    </comment>
    <comment authorId="0" ref="D256">
      <text>
        <t xml:space="preserve">[校級] University
[院級] 理學院
College of Science
[所級] 生醫光電所
Institute of Biophotonics</t>
      </text>
    </comment>
    <comment authorId="0" ref="E256">
      <text>
        <t xml:space="preserve">[校級] University
[所級] 生醫光電研究所
Institute of Biophotonics</t>
      </text>
    </comment>
    <comment authorId="0" ref="D190">
      <text>
        <t xml:space="preserve">[院級] 半導體學院
International College of Semiconductor Technology</t>
      </text>
    </comment>
    <comment authorId="0" ref="F256">
      <text>
        <t xml:space="preserve">[院級] 電機院、理學院、工學院
College of Electrical and Computer Engineering, College of Science, College of Engineering</t>
      </text>
    </comment>
    <comment authorId="0" ref="E157">
      <text>
        <t xml:space="preserve">[院級] 資訊學院
College of Computer Science</t>
      </text>
    </comment>
    <comment authorId="0" ref="F25">
      <text>
        <t xml:space="preserve">[院級] 管理學院
College of Management</t>
      </text>
    </comment>
    <comment authorId="0" ref="D405">
      <text>
        <t xml:space="preserve">[系級] 電機資訊國際學位學程
EECS International Graduate Program</t>
      </text>
    </comment>
    <comment authorId="0" ref="D372">
      <text>
        <t xml:space="preserve">[院級] 科法院
School of Law</t>
      </text>
    </comment>
    <comment authorId="0" ref="E372">
      <text>
        <t xml:space="preserve">[院級] 科法院
School of Law</t>
      </text>
    </comment>
    <comment authorId="0" ref="D273">
      <text>
        <t xml:space="preserve">[院級] 工學院
College of Engineering</t>
      </text>
    </comment>
    <comment authorId="0" ref="D240">
      <text>
        <t xml:space="preserve">[院級]醫工院College of Biomedical Science and Engineering
</t>
      </text>
    </comment>
    <comment authorId="0" ref="E273">
      <text>
        <t xml:space="preserve">[院級] 工學院
College of Engineering</t>
      </text>
    </comment>
    <comment authorId="0" ref="E174">
      <text>
        <t xml:space="preserve">[院級] 電機院、資訊院
College of Electrical and Computer Engineering, College of Computer Science</t>
      </text>
    </comment>
    <comment authorId="0" ref="D75">
      <text>
        <t xml:space="preserve">[院級] 護理學院
College of Nursing</t>
      </text>
    </comment>
    <comment authorId="0" ref="E108">
      <text>
        <t xml:space="preserve">[院級] 管理學院
College of Management</t>
      </text>
    </comment>
    <comment authorId="0" ref="D42">
      <text>
        <t xml:space="preserve">[所級] 科法所
Institute of Technology Law</t>
      </text>
    </comment>
    <comment authorId="0" ref="D9">
      <text>
        <t xml:space="preserve">[院級]人文藝術與社會學院
College of Humanities, Arts, and Social Sciences</t>
      </text>
    </comment>
    <comment authorId="0" ref="D290">
      <text>
        <t xml:space="preserve">[院級] 工程生物科學院
College of Engineering Bioscience</t>
      </text>
    </comment>
    <comment authorId="0" ref="E323">
      <text>
        <t xml:space="preserve">[所級] 社文所
Institute of Social Research and Culture Studies</t>
      </text>
    </comment>
    <comment authorId="0" ref="D59">
      <text>
        <t xml:space="preserve">[院級]工學院College of Engineering</t>
      </text>
    </comment>
    <comment authorId="0" ref="F92">
      <text>
        <t xml:space="preserve">[院級] 電機院、資訊院
College of Electrical and Computer Engineering &amp; College of Computer Science</t>
      </text>
    </comment>
    <comment authorId="0" ref="G92">
      <text>
        <t xml:space="preserve">[院級] 電機院、資訊院
College of Electrical and Computer Engineering &amp; College of Computer Science</t>
      </text>
    </comment>
    <comment authorId="0" ref="D406">
      <text>
        <t xml:space="preserve">[系級] 電機資訊國際學位學程
EECS International Graduate Program</t>
      </text>
    </comment>
    <comment authorId="0" ref="E340">
      <text>
        <t xml:space="preserve">[院級] 管理學院
College of Management</t>
      </text>
    </comment>
    <comment authorId="0" ref="D274">
      <text>
        <t xml:space="preserve">[院級] 理學院
College of Science</t>
      </text>
    </comment>
    <comment authorId="0" ref="F340">
      <text>
        <t xml:space="preserve">[院級] 國際半導體產業學院
International College of Semiconductor Technology</t>
      </text>
    </comment>
    <comment authorId="0" ref="D241">
      <text>
        <t xml:space="preserve">[院級]醫工院College of Biomedical Science and Engineering</t>
      </text>
    </comment>
    <comment authorId="0" ref="F307">
      <text>
        <t xml:space="preserve">[院級] 半導體學院
International College of Semiconductor Technology</t>
      </text>
    </comment>
    <comment authorId="0" ref="D208">
      <text>
        <t xml:space="preserve">[校級] University
[院級]醫學院College of Medicine
[院級]人文藝術與社會學院College of Humanities, Arts, and Social Sciences</t>
      </text>
    </comment>
    <comment authorId="0" ref="E208">
      <text>
        <t xml:space="preserve">[校級] University
[院級]人文藝術與社會學院College of Humanities, Arts, and Social Sciences</t>
      </text>
    </comment>
    <comment authorId="0" ref="E175">
      <text>
        <t xml:space="preserve">[院級] 資訊院、理學院
College of Computer Science &amp; College of Science</t>
      </text>
    </comment>
    <comment authorId="0" ref="D109">
      <text>
        <t xml:space="preserve">[院級] 電機院、工學院
College of Electrical and Computer Engineering &amp; College of Engineering</t>
      </text>
    </comment>
    <comment authorId="0" ref="D76">
      <text>
        <t xml:space="preserve">[院級] 理學院
College of Science</t>
      </text>
    </comment>
    <comment authorId="0" ref="E109">
      <text>
        <t xml:space="preserve">[院級] 電機院、工學院
College of Electrical and Computer Engineering &amp; College of Engineering</t>
      </text>
    </comment>
    <comment authorId="0" ref="D43">
      <text>
        <t xml:space="preserve">[院級] 護理學院
College of Nursing</t>
      </text>
    </comment>
    <comment authorId="0" ref="E10">
      <text>
        <t xml:space="preserve">[院級] 管理學院
College of Management</t>
      </text>
    </comment>
    <comment authorId="0" ref="D390">
      <text>
        <t xml:space="preserve">[校級]University
[院級]醫學院College of Medicine</t>
      </text>
    </comment>
    <comment authorId="0" ref="E324">
      <text>
        <t xml:space="preserve">[院級] 管院
College of Management</t>
      </text>
    </comment>
    <comment authorId="0" ref="D258">
      <text>
        <t xml:space="preserve">[校級] University
[院級] 理學院College of Science
[院級] 牙醫學院 College of Dentistry
[院級] 醫學院College of Medicine
[院級] 藥科院College of Pharmaceutical Sciences</t>
      </text>
    </comment>
    <comment authorId="0" ref="E258">
      <text>
        <t xml:space="preserve">[校級] University
[院級] 牙醫學院 College of Dentistry
[院級] 醫學院College of Medicine
[院級] 藥科院College of Pharmaceutical Sciences</t>
      </text>
    </comment>
    <comment authorId="0" ref="D192">
      <text>
        <t xml:space="preserve">[院級] 人文藝術與社會學院
College of Humanities, Arts, and Social Sciences</t>
      </text>
    </comment>
    <comment authorId="0" ref="E192">
      <text>
        <t xml:space="preserve">[院級] 人文藝術與社會學院
College of Humanities, Arts, and Social Sciences</t>
      </text>
    </comment>
    <comment authorId="0" ref="H258">
      <text>
        <t xml:space="preserve">[院級] 理學院College of Science</t>
      </text>
    </comment>
    <comment authorId="0" ref="E126">
      <text>
        <t xml:space="preserve">[院級] 工學院、資訊學院
College of Engineering, College of Computer Science</t>
      </text>
    </comment>
    <comment authorId="0" ref="F60">
      <text>
        <t xml:space="preserve">[院級] 管理學院
College of Management</t>
      </text>
    </comment>
    <comment authorId="0" ref="D407">
      <text>
        <t xml:space="preserve">[院級] 工學院College of Engineering</t>
      </text>
    </comment>
    <comment authorId="0" ref="D341">
      <text>
        <t xml:space="preserve">[所級] 電子所
Institute of Electronics</t>
      </text>
    </comment>
    <comment authorId="0" ref="E308">
      <text>
        <t xml:space="preserve">[系級] 機械工程系
Dept. of Mechanical Engineering</t>
      </text>
    </comment>
    <comment authorId="0" ref="D242">
      <text>
        <t xml:space="preserve">[校級] University
[院級] 理學院
College of Science</t>
      </text>
    </comment>
    <comment authorId="0" ref="E242">
      <text>
        <t xml:space="preserve">[校級] University
[院級] 理學院
College of Science</t>
      </text>
    </comment>
    <comment authorId="0" ref="F242">
      <text>
        <t xml:space="preserve">[院級] 雙聯碩士-電機學院、工學院、資訊學院
Dual Master- College of Electrical and Computer Engineering, College of Computer Science, College of Engineering,</t>
      </text>
    </comment>
    <comment authorId="0" ref="D77">
      <text>
        <t xml:space="preserve">[院級] 客家文化學院
College of Hakka Studies</t>
      </text>
    </comment>
    <comment authorId="0" ref="E77">
      <text>
        <t xml:space="preserve">[院級] 客家文化學院
College of Hakka Studies</t>
      </text>
    </comment>
    <comment authorId="0" ref="F44">
      <text>
        <t xml:space="preserve">(1) [院級] 資訊學院
College of Computer Science
(2) [系級] 醫學系 
School of Medicine</t>
      </text>
    </comment>
    <comment authorId="0" ref="D391">
      <text>
        <t xml:space="preserve">[校級]University
[院級]牙醫學院College of Dentistry
[院級]醫學院College of Medicine</t>
      </text>
    </comment>
    <comment authorId="0" ref="D358">
      <text>
        <t xml:space="preserve">[院級] 理學院
College of Science</t>
      </text>
    </comment>
    <comment authorId="0" ref="D325">
      <text>
        <t xml:space="preserve">[所級] 視覺文化研究所
Institute of Visual Studies</t>
      </text>
    </comment>
    <comment authorId="0" ref="E325">
      <text>
        <t xml:space="preserve">[所級] 視覺文化研究所
Institute of Visual Studies</t>
      </text>
    </comment>
    <comment authorId="0" ref="F358">
      <text>
        <t xml:space="preserve">[院級] 理學院
College of Science</t>
      </text>
    </comment>
    <comment authorId="0" ref="D259">
      <text>
        <t xml:space="preserve">[校級] University
[院級] 理學院
College of Science</t>
      </text>
    </comment>
    <comment authorId="0" ref="D193">
      <text>
        <t xml:space="preserve">[系級] 亞際文化研究國際碩士學位學程
International Program in lnter-Asia Cultural Studies</t>
      </text>
    </comment>
    <comment authorId="0" ref="H292">
      <text>
        <t xml:space="preserve">[院級] 工程生物科學院
College of Engineering Bioscience</t>
      </text>
    </comment>
    <comment authorId="0" ref="D375">
      <text>
        <t xml:space="preserve">[校級] University
[系級] 傳科系Dept. of Communication and Technology
[院級]醫學院College of Medicine
[院級]牙醫學院College of Dentistry</t>
      </text>
    </comment>
    <comment authorId="0" ref="E375">
      <text>
        <t xml:space="preserve">[校級] University
[院級]醫學院College of Medicine</t>
      </text>
    </comment>
    <comment authorId="0" ref="D276">
      <text>
        <t xml:space="preserve">[校級] University
[系級] 醫學系 
School of Medicine</t>
      </text>
    </comment>
    <comment authorId="0" ref="D243">
      <text>
        <t xml:space="preserve">[校級] University
[院級] 理學院
College of Science
[院級] 人社院
College of Humanities and Social Sciences</t>
      </text>
    </comment>
    <comment authorId="0" ref="E243">
      <text>
        <t xml:space="preserve">[校級] University
[院級] 理學院
College of Science
[院級] 人社院
College of Humanities and Social Sciences</t>
      </text>
    </comment>
    <comment authorId="0" ref="H342">
      <text>
        <t xml:space="preserve">[院級] 國際半導體產業學院
International College of Semiconductor Technology</t>
      </text>
    </comment>
    <comment authorId="0" ref="F243">
      <text>
        <t xml:space="preserve">[院級] 理學院
College of Science</t>
      </text>
    </comment>
    <comment authorId="0" ref="D111">
      <text>
        <t xml:space="preserve">[院級] 理學院、生科院
College of Science
College of Biological Science and Technology</t>
      </text>
    </comment>
    <comment authorId="0" ref="E111">
      <text>
        <t xml:space="preserve">[院級] 理學院、生科院
College of Science
College of Biological Science and Technology</t>
      </text>
    </comment>
    <comment authorId="0" ref="D45">
      <text>
        <t xml:space="preserve">[院級] 管理學院
College of Management</t>
      </text>
    </comment>
    <comment authorId="0" ref="F45">
      <text>
        <t xml:space="preserve">[院級] 管理學院
College of Management</t>
      </text>
    </comment>
    <comment authorId="0" ref="D359">
      <text>
        <t xml:space="preserve">[校級] University
[系所級] 物理研究所
Institute of Physics</t>
      </text>
    </comment>
    <comment authorId="0" ref="D326">
      <text>
        <t xml:space="preserve">[院級] 理學院、生科院
College of Science &amp; College of Biological Science and Technology</t>
      </text>
    </comment>
    <comment authorId="0" ref="D293">
      <text>
        <t xml:space="preserve">[院級] 國際半導體產業學院
International College of Semiconductor Technology</t>
      </text>
    </comment>
    <comment authorId="0" ref="E326">
      <text>
        <t xml:space="preserve">[院級] 理學院、生科院
College of Science &amp; College of Biological Science and Technology</t>
      </text>
    </comment>
    <comment authorId="0" ref="E260">
      <text>
        <t xml:space="preserve">[院級] 電機院、資訊院、工學院、理學院 (研究交換)
College of Electrical and Computer Engineering &amp; College of Computer Science &amp; College of Engineering &amp; College of Science (Research)</t>
      </text>
    </comment>
    <comment authorId="0" ref="F260">
      <text>
        <t xml:space="preserve">[院級] 管院
College of Management</t>
      </text>
    </comment>
    <comment authorId="0" ref="H260">
      <text>
        <t xml:space="preserve">
</t>
      </text>
    </comment>
    <comment authorId="0" ref="D62">
      <text>
        <t xml:space="preserve">[系所中心級]腫瘤惡化卓越研究中心</t>
      </text>
    </comment>
    <comment authorId="0" ref="D29">
      <text>
        <t xml:space="preserve">[院級] 工學院
College of Engineering</t>
      </text>
    </comment>
    <comment authorId="0" ref="D343">
      <text>
        <t xml:space="preserve">[院級] 醫學院
College of Medicine</t>
      </text>
    </comment>
    <comment authorId="0" ref="D244">
      <text>
        <t xml:space="preserve">[院級] 電機院
College of Electrical and Computer Engineering</t>
      </text>
    </comment>
    <comment authorId="0" ref="E178">
      <text>
        <t xml:space="preserve">[校級] University
[院級] 管理學院
College of Management</t>
      </text>
    </comment>
    <comment authorId="0" ref="D112">
      <text>
        <t xml:space="preserve">[院級] 資訊院
College of Computer Science
</t>
      </text>
    </comment>
    <comment authorId="0" ref="E112">
      <text>
        <t xml:space="preserve">[院級] 資訊院
College of Computer Science
</t>
      </text>
    </comment>
    <comment authorId="0" ref="E327">
      <text>
        <t xml:space="preserve">[校級] University
[院級] 生科院
College of Biological Science and Technology</t>
      </text>
    </comment>
    <comment authorId="0" ref="D261">
      <text>
        <t xml:space="preserve">[院級] 理學院
College of Science</t>
      </text>
    </comment>
    <comment authorId="0" ref="E261">
      <text>
        <t xml:space="preserve">[院級] 理學院
College of Science</t>
      </text>
    </comment>
    <comment authorId="0" ref="D63">
      <text>
        <t xml:space="preserve">[院級]客家學院
College of Hakka Studies</t>
      </text>
    </comment>
    <comment authorId="0" ref="H162">
      <text>
        <t xml:space="preserve">[系級] 醫學系 School of Medicine </t>
      </text>
    </comment>
    <comment authorId="0" ref="E30">
      <text>
        <t xml:space="preserve">[院級] 電機院、資訊院
College of Electrical and Computer Engineering &amp; College of Computer Science</t>
      </text>
    </comment>
    <comment authorId="0" ref="D377">
      <text>
        <t xml:space="preserve">[校級] University
[院級] 科法院
School of Law</t>
      </text>
    </comment>
    <comment authorId="0" ref="D311">
      <text>
        <t xml:space="preserve">[院級] 醫工學院College of Biomedical Science and Engineering
</t>
      </text>
    </comment>
    <comment authorId="0" ref="D278">
      <text>
        <t xml:space="preserve">[院級] 牙醫學院 College of Dentistry</t>
      </text>
    </comment>
    <comment authorId="0" ref="D245">
      <text>
        <t xml:space="preserve">[校級]University
[院級] 理學院
College of Science</t>
      </text>
    </comment>
    <comment authorId="0" ref="D47">
      <text>
        <t xml:space="preserve">[院級] 客家院
College of Hakka Studies</t>
      </text>
    </comment>
    <comment authorId="0" ref="D361">
      <text>
        <t xml:space="preserve">[院級] 理學院
College of Science</t>
      </text>
    </comment>
    <comment authorId="0" ref="D328">
      <text>
        <t xml:space="preserve">[院級] 工生院
College of Engineering Biosciencey
[院級] 牙醫學院
College of Dentistry</t>
      </text>
    </comment>
    <comment authorId="0" ref="D295">
      <text>
        <t xml:space="preserve">[院級] 護理學院
College of Nursing</t>
      </text>
    </comment>
    <comment authorId="0" ref="E328">
      <text>
        <t xml:space="preserve">[院級] 工生院
College of Engineering Bioscience</t>
      </text>
    </comment>
    <comment authorId="0" ref="E97">
      <text>
        <t xml:space="preserve">[院級] 管理學院
College of Management</t>
      </text>
    </comment>
    <comment authorId="0" ref="F97">
      <text>
        <t xml:space="preserve">[院級] 管理學院
College of Management</t>
      </text>
    </comment>
    <comment authorId="0" ref="F31">
      <text>
        <t xml:space="preserve">[院級] 科法學院
School of Law</t>
      </text>
    </comment>
    <comment authorId="0" ref="D345">
      <text>
        <t xml:space="preserve">[院級] 工學院
College of Engineering</t>
      </text>
    </comment>
    <comment authorId="0" ref="D312">
      <text>
        <t xml:space="preserve">[院級] 科法院 
School of Law</t>
      </text>
    </comment>
    <comment authorId="0" ref="E312">
      <text>
        <t xml:space="preserve">[院級] 科法院 
School of Law</t>
      </text>
    </comment>
    <comment authorId="0" ref="D246">
      <text>
        <t xml:space="preserve">[校級] University
[院級] 理學院
College of Science
[系所中心] 醫學系
School of Medicine</t>
      </text>
    </comment>
    <comment authorId="0" ref="F246">
      <text>
        <t xml:space="preserve">[院級] 半導體學院
International College of Semiconductor Technology</t>
      </text>
    </comment>
    <comment authorId="0" ref="E180">
      <text>
        <t xml:space="preserve">[校級] University
[院級] 電機院、資訊院
College of Electrical and Computer Engineering, College of Computer Science</t>
      </text>
    </comment>
    <comment authorId="0" ref="D114">
      <text>
        <t xml:space="preserve">[院級] 資訊院
College of Computer Science
</t>
      </text>
    </comment>
    <comment authorId="0" ref="F180">
      <text>
        <t xml:space="preserve">[系級] 電子所
Institute of Electronics</t>
      </text>
    </comment>
    <comment authorId="0" ref="H246">
      <text>
        <t xml:space="preserve">臨床實習 Clinical Clerkship:
[系所中心] 醫學系
School of Medicine
博士共同指導 Joint Supervision (PhD):
[院級] 國際半導體產業學院
The International College of Semiconductor Technology</t>
      </text>
    </comment>
    <comment authorId="0" ref="D81">
      <text>
        <t xml:space="preserve">[院級] 電機院、資訊院
College of Electrical and Computer Engineering &amp; Computer Science</t>
      </text>
    </comment>
    <comment authorId="0" ref="E114">
      <text>
        <t xml:space="preserve">[院級] 資訊院
College of Computer Science
</t>
      </text>
    </comment>
    <comment authorId="0" ref="D48">
      <text>
        <t xml:space="preserve">[院級] 理學院
College of Science</t>
      </text>
    </comment>
    <comment authorId="0" ref="E81">
      <text>
        <t xml:space="preserve">[校級] University
[院級] College of Management</t>
      </text>
    </comment>
    <comment authorId="0" ref="D15">
      <text>
        <t xml:space="preserve">[校級] University: UW Nanotechnology</t>
      </text>
    </comment>
    <comment authorId="0" ref="F81">
      <text>
        <t xml:space="preserve">PhD: [校級] University
MS: [院級] 理學院
College of Science
MS: [院級] 電機院、資訊學院、工學院、國際半導體產業學院、產創學院、理學院
College of Electrical and Computer Engineering,
College of Computer Science,
College of Engineering,
International College of Semiconductor Technology,
Industry Academia Innovation School, 
College of Science</t>
      </text>
    </comment>
    <comment authorId="0" ref="F48">
      <text>
        <t xml:space="preserve">[系級] 土木工程學系
Department of Civil Engineering</t>
      </text>
    </comment>
    <comment authorId="0" ref="D362">
      <text>
        <t xml:space="preserve">[院級] 理學院
College of Science</t>
      </text>
    </comment>
    <comment authorId="0" ref="D296">
      <text>
        <t xml:space="preserve">[校級] University
[所級] 統計所
Institute of Statistics</t>
      </text>
    </comment>
    <comment authorId="0" ref="E329">
      <text>
        <t xml:space="preserve">[院級] 半導體學院
International College of Semiconductor Technology</t>
      </text>
    </comment>
    <comment authorId="0" ref="D263">
      <text>
        <t xml:space="preserve">[院級] 電機院
College of Electrical and Computer Engineering</t>
      </text>
    </comment>
    <comment authorId="0" ref="D230">
      <text>
        <t xml:space="preserve">[校級] University
[院級] 人社院
College of Humanities and Social Sciences</t>
      </text>
    </comment>
    <comment authorId="0" ref="E263">
      <text>
        <t xml:space="preserve">[院級] 電機院
College of Electrical and Computer Engineering</t>
      </text>
    </comment>
    <comment authorId="0" ref="E131">
      <text>
        <t xml:space="preserve">[院級] 管理學院
College of Management</t>
      </text>
    </comment>
    <comment authorId="0" ref="E32">
      <text>
        <t xml:space="preserve">[院級] 電機院、資訊院
College of Electrical and Computer Engineering &amp; College of Computer Science</t>
      </text>
    </comment>
    <comment authorId="0" ref="D346">
      <text>
        <t xml:space="preserve">[院級] 理學院
College of Science
[系級] 電子物理系
Department of Electrophysics</t>
      </text>
    </comment>
    <comment authorId="0" ref="D280">
      <text>
        <t xml:space="preserve">[院級] 牙醫學院 College of Dentistry</t>
      </text>
    </comment>
    <comment authorId="0" ref="F346">
      <text>
        <t xml:space="preserve">[院級] 理學院
College of Science
[系級] 電物系
Dept. of Electrophysics</t>
      </text>
    </comment>
    <comment authorId="0" ref="D247">
      <text>
        <t xml:space="preserve">[校級] University
[院級] 理學院
College of Science</t>
      </text>
    </comment>
    <comment authorId="0" ref="F313">
      <text>
        <t xml:space="preserve">[院級] 半導體學院
International College of Semiconductor Technology</t>
      </text>
    </comment>
    <comment authorId="0" ref="D148">
      <text>
        <t xml:space="preserve">[院級] 管理學院
College of Management</t>
      </text>
    </comment>
    <comment authorId="0" ref="E148">
      <text>
        <t xml:space="preserve">[院級] 管理學院
College of Management</t>
      </text>
    </comment>
    <comment authorId="0" ref="D82">
      <text>
        <t xml:space="preserve">[校級] University
[院級] 管理學院
College of Management</t>
      </text>
    </comment>
    <comment authorId="0" ref="E115">
      <text>
        <t xml:space="preserve">[院級] 工學院
College of Engineering</t>
      </text>
    </comment>
    <comment authorId="0" ref="F148">
      <text>
        <t xml:space="preserve">[院級] 管理學院
College of Management</t>
      </text>
    </comment>
    <comment authorId="0" ref="E82">
      <text>
        <t xml:space="preserve">[院級] 管理學院
College of Management</t>
      </text>
    </comment>
    <comment authorId="0" ref="E16">
      <text>
        <t xml:space="preserve">[院級] 管理學院
College of Management</t>
      </text>
    </comment>
    <comment authorId="0" ref="F49">
      <text>
        <t xml:space="preserve">[院級] 管理學院
College of Management
[院級] 資訊學院
College of Computer Science</t>
      </text>
    </comment>
    <comment authorId="0" ref="D396">
      <text>
        <t xml:space="preserve">[院級]牙醫學院College of Dentistry</t>
      </text>
    </comment>
    <comment authorId="0" ref="D363">
      <text>
        <t xml:space="preserve">[院級] 國際半導體產業學院
International College of Semiconductor Technology</t>
      </text>
    </comment>
    <comment authorId="0" ref="D330">
      <text>
        <t xml:space="preserve">[校級] University
[院級] 牙醫學院College of Dentistry</t>
      </text>
    </comment>
    <comment authorId="0" ref="D297">
      <text>
        <t xml:space="preserve">[院級] 管院
College of Management</t>
      </text>
    </comment>
    <comment authorId="0" ref="D264">
      <text>
        <t xml:space="preserve">[院級] 理學院
College of Science</t>
      </text>
    </comment>
    <comment authorId="0" ref="E297">
      <text>
        <t xml:space="preserve">[院級] 管院
College of Management</t>
      </text>
    </comment>
    <comment authorId="0" ref="E264">
      <text>
        <t xml:space="preserve">[院級] 理學院
College of Science</t>
      </text>
    </comment>
    <comment authorId="0" ref="F297">
      <text>
        <t xml:space="preserve">[院級] 管理學院
College of Management</t>
      </text>
    </comment>
    <comment authorId="0" ref="D165">
      <text>
        <t xml:space="preserve">[院級] 電機院、資訊院
College of Electrical and Computer Engineering, College of Computer Science
[院級]牙醫學院College of Dentistry</t>
      </text>
    </comment>
    <comment authorId="0" ref="E165">
      <text>
        <t xml:space="preserve">[院級] 電機院、資訊院
College of Electrical and Computer Engineering, College of Computer Science</t>
      </text>
    </comment>
    <comment authorId="0" ref="E132">
      <text>
        <t xml:space="preserve">[院級]護理學院College of Nursing (包含Staff Exchange)
[系級]物治系Department of Physical Therapy and Assistive Technology
(包含Staff Exchange)
</t>
      </text>
    </comment>
    <comment authorId="0" ref="I198">
      <text>
        <t xml:space="preserve">[系/所級] 光電系、顯示所
Department of Photonics, Institute of Display</t>
      </text>
    </comment>
    <comment authorId="0" ref="F33">
      <text>
        <t xml:space="preserve">[院級] 管理學院
College of Management</t>
      </text>
    </comment>
    <comment authorId="0" ref="D248">
      <text>
        <t xml:space="preserve">[校級] University Level
[院級] 電機學院、資訊學院
College of Electrical and and Computer Engineering, College of Computer Science</t>
      </text>
    </comment>
    <comment authorId="0" ref="D182">
      <text>
        <t xml:space="preserve">[院級] 理學院、工學院
College of Science, College of Engineering</t>
      </text>
    </comment>
    <comment authorId="0" ref="D149">
      <text>
        <t xml:space="preserve">[院級] 管理學院
College of Management</t>
      </text>
    </comment>
    <comment authorId="0" ref="E149">
      <text>
        <t xml:space="preserve">[院級] 管理學院
College of Management</t>
      </text>
    </comment>
    <comment authorId="0" ref="E83">
      <text>
        <t xml:space="preserve">[校級] University
[院級] 管理學院
College of Management</t>
      </text>
    </comment>
    <comment authorId="0" ref="D397">
      <text>
        <t xml:space="preserve">[院級]牙醫學院College of Dentistry</t>
      </text>
    </comment>
    <comment authorId="0" ref="D364">
      <text>
        <t xml:space="preserve">[院級] 生物醫學暨工程學院
College of Biomedical Science and Engineering</t>
      </text>
    </comment>
  </commentList>
</comments>
</file>

<file path=xl/sharedStrings.xml><?xml version="1.0" encoding="utf-8"?>
<sst xmlns="http://schemas.openxmlformats.org/spreadsheetml/2006/main" count="3982" uniqueCount="1242">
  <si>
    <t>洲別
Continent</t>
  </si>
  <si>
    <t>洲別</t>
  </si>
  <si>
    <t>國別
Country</t>
  </si>
  <si>
    <t>學校名稱
Partner Institutions</t>
  </si>
  <si>
    <t>北美洲
North America</t>
  </si>
  <si>
    <t>學術交流合約
MOU</t>
  </si>
  <si>
    <t>中南美洲
Central and South America</t>
  </si>
  <si>
    <t>交換學生合約
Student Exchange</t>
  </si>
  <si>
    <t>雙聯學位合約
Dual Degree</t>
  </si>
  <si>
    <t>非洲
Africa</t>
  </si>
  <si>
    <t>雙聯領域
Dual Degree Fields</t>
  </si>
  <si>
    <t>歐洲
Europe</t>
  </si>
  <si>
    <t>其他合約
Other</t>
  </si>
  <si>
    <t>註記
Remark</t>
  </si>
  <si>
    <t>亞西地區
West Asia</t>
  </si>
  <si>
    <t>亞太地區
Asia Pacific</t>
  </si>
  <si>
    <t>簡稱</t>
  </si>
  <si>
    <t>所屬洲別</t>
  </si>
  <si>
    <t>中文</t>
  </si>
  <si>
    <t>英文</t>
  </si>
  <si>
    <t>國別</t>
  </si>
  <si>
    <t>AFG</t>
  </si>
  <si>
    <t>WA</t>
  </si>
  <si>
    <t>阿富汗</t>
  </si>
  <si>
    <t>Afghanistan</t>
  </si>
  <si>
    <t>澳洲
Australia</t>
  </si>
  <si>
    <t>墨爾本皇家理工學院
Royal Melbourne Institute of Technology</t>
  </si>
  <si>
    <t>V</t>
  </si>
  <si>
    <t>雪梨科技大學
University of Technology Sydney</t>
  </si>
  <si>
    <t>PhD</t>
  </si>
  <si>
    <t>All</t>
  </si>
  <si>
    <t>NYCU</t>
  </si>
  <si>
    <t>新南威爾斯大學
University of New South Wales (UNSW)</t>
  </si>
  <si>
    <t>昆士蘭科技大學
Queensland University of Technology (QUT)</t>
  </si>
  <si>
    <t>雪梨大學
University of Sydney</t>
  </si>
  <si>
    <t>西澳大學
The University of Western Australia (UWA)</t>
  </si>
  <si>
    <t>墨爾本大學
The University of Melbourne</t>
  </si>
  <si>
    <t>MS</t>
  </si>
  <si>
    <t>法
Law</t>
  </si>
  <si>
    <t>AGO</t>
  </si>
  <si>
    <t>AF</t>
  </si>
  <si>
    <t>安哥拉</t>
  </si>
  <si>
    <t>Angola</t>
  </si>
  <si>
    <t>安哥拉
Angola</t>
  </si>
  <si>
    <t>ALB</t>
  </si>
  <si>
    <t>EU</t>
  </si>
  <si>
    <t>阿爾巴尼亞</t>
  </si>
  <si>
    <t>Albania</t>
  </si>
  <si>
    <t>阿爾巴尼亞
Albania</t>
  </si>
  <si>
    <t>西雪梨大學
Western Sydney University</t>
  </si>
  <si>
    <t>ARE</t>
  </si>
  <si>
    <t>阿拉伯聯合大公國</t>
  </si>
  <si>
    <t>United Arab Emirates</t>
  </si>
  <si>
    <t>阿拉伯聯合大公國
United Arab Emirates</t>
  </si>
  <si>
    <t>ARG</t>
  </si>
  <si>
    <t>SA</t>
  </si>
  <si>
    <t>阿根廷</t>
  </si>
  <si>
    <t>Argentina</t>
  </si>
  <si>
    <t>紐西蘭
New Zealand</t>
  </si>
  <si>
    <t>阿根廷
Argentina</t>
  </si>
  <si>
    <t>奧克蘭理工大學
Auckland University of Technology (AUT)</t>
  </si>
  <si>
    <t>ARM</t>
  </si>
  <si>
    <t>亞美尼亞</t>
  </si>
  <si>
    <t>Armenia</t>
  </si>
  <si>
    <t>亞美尼亞
Armenia</t>
  </si>
  <si>
    <t>玻里尼西亞 (大溪地)
Polynesia (Tahitia)</t>
  </si>
  <si>
    <t>法屬玻里尼西亞大學
University of French Polynesia</t>
  </si>
  <si>
    <t>AUS</t>
  </si>
  <si>
    <t>AP</t>
  </si>
  <si>
    <t>澳洲</t>
  </si>
  <si>
    <t>Australia</t>
  </si>
  <si>
    <t>CAN</t>
  </si>
  <si>
    <t>NA</t>
  </si>
  <si>
    <t>加拿大</t>
  </si>
  <si>
    <t>國立南方大學
Universidad Nacional del Sur</t>
  </si>
  <si>
    <t>Canada</t>
  </si>
  <si>
    <t>加拿大
Canada</t>
  </si>
  <si>
    <t>USA</t>
  </si>
  <si>
    <t>美國</t>
  </si>
  <si>
    <t>美國
USA</t>
  </si>
  <si>
    <t>GRL</t>
  </si>
  <si>
    <t>格陵蘭</t>
  </si>
  <si>
    <t>Greenland</t>
  </si>
  <si>
    <t>智利
Chile</t>
  </si>
  <si>
    <t>格陵蘭
Greenland</t>
  </si>
  <si>
    <t>智利天主教大學
Pontifical Catholic University of Chile</t>
  </si>
  <si>
    <t>AUT</t>
  </si>
  <si>
    <t>奧地利</t>
  </si>
  <si>
    <t>Austria</t>
  </si>
  <si>
    <t>奧地利
Austria</t>
  </si>
  <si>
    <t>蒙特婁理工大學
Polytechnique Montréal</t>
  </si>
  <si>
    <t>NYCU
原名: École Polytechnique de Montréal (EPM)</t>
  </si>
  <si>
    <t>AZE</t>
  </si>
  <si>
    <t>亞塞拜然共和國</t>
  </si>
  <si>
    <t>滑鐵盧大學
University of Waterloo</t>
  </si>
  <si>
    <t>Azerbaijan</t>
  </si>
  <si>
    <t>亞塞拜然共和國
Azerbaijan</t>
  </si>
  <si>
    <t>BDI</t>
  </si>
  <si>
    <t>蒲隆地</t>
  </si>
  <si>
    <t>Burundi</t>
  </si>
  <si>
    <t>魁北克大學蒙特婁分校
Université du Québec à Montréal</t>
  </si>
  <si>
    <t>蒲隆地
Burundi</t>
  </si>
  <si>
    <t>BEL</t>
  </si>
  <si>
    <t>比利時</t>
  </si>
  <si>
    <t>Belgium</t>
  </si>
  <si>
    <t>高等工程技術學院
École de Technologie Supérieure (ETS)</t>
  </si>
  <si>
    <t>英屬哥倫比亞大學
The University of British Columbia (UBC)</t>
  </si>
  <si>
    <t>V
(Summer Program)</t>
  </si>
  <si>
    <t>里賈納大學
University of Regina</t>
  </si>
  <si>
    <t>比利時
Belgium</t>
  </si>
  <si>
    <t>加拿大國家研究院
National Research Council of Canada</t>
  </si>
  <si>
    <t>BEN</t>
  </si>
  <si>
    <t>貝南</t>
  </si>
  <si>
    <t>Benin</t>
  </si>
  <si>
    <t>貝南
Benin</t>
  </si>
  <si>
    <t>BFA</t>
  </si>
  <si>
    <t>布吉納法索</t>
  </si>
  <si>
    <t>Burkina Faso</t>
  </si>
  <si>
    <t>布吉納法索
Burkina Faso</t>
  </si>
  <si>
    <t>BGD</t>
  </si>
  <si>
    <t>新布倫瑞克大學
University of New Brunswick</t>
  </si>
  <si>
    <t>孟加拉</t>
  </si>
  <si>
    <t>Bangladesh</t>
  </si>
  <si>
    <t>孟加拉
Bangladesh</t>
  </si>
  <si>
    <t>BGR</t>
  </si>
  <si>
    <t>保加利亞</t>
  </si>
  <si>
    <t>Bulgaria</t>
  </si>
  <si>
    <t>保加利亞
Bulgaria</t>
  </si>
  <si>
    <t>BHS</t>
  </si>
  <si>
    <t>巴哈馬</t>
  </si>
  <si>
    <t>The Bahamas</t>
  </si>
  <si>
    <t>巴哈馬
The Bahamas</t>
  </si>
  <si>
    <t>BIH</t>
  </si>
  <si>
    <t>波士尼亞與赫塞哥維納</t>
  </si>
  <si>
    <t>Bosnia and Herzegovina</t>
  </si>
  <si>
    <t>波士尼亞與赫塞哥維納
Bosnia and Herzegovina</t>
  </si>
  <si>
    <t>BLR</t>
  </si>
  <si>
    <t>白俄羅斯</t>
  </si>
  <si>
    <t>Belarus</t>
  </si>
  <si>
    <t>白俄羅斯
Belarus</t>
  </si>
  <si>
    <t>秘魯
Peru</t>
  </si>
  <si>
    <t>阿拉斯秘鲁大學
Universidad Alas Peruanas</t>
  </si>
  <si>
    <t>BLZ</t>
  </si>
  <si>
    <t>貝里斯</t>
  </si>
  <si>
    <t>Belize</t>
  </si>
  <si>
    <t>貝里斯
Belize</t>
  </si>
  <si>
    <t>墨西哥
Mexico</t>
  </si>
  <si>
    <t>大都會自治大學
Universidad Autónoma Metropolitana (UAM)</t>
  </si>
  <si>
    <t>BOL</t>
  </si>
  <si>
    <t>玻利維亞</t>
  </si>
  <si>
    <t>Bolivia</t>
  </si>
  <si>
    <t>玻利維亞
Bolivia</t>
  </si>
  <si>
    <t>BRA</t>
  </si>
  <si>
    <t>哥倫比亞
Colombia</t>
  </si>
  <si>
    <t>巴西</t>
  </si>
  <si>
    <t>哥倫比亞教育暨科技大學
Pedagogical and Technological University of Colombia (UPTC)</t>
  </si>
  <si>
    <t>Brazil</t>
  </si>
  <si>
    <t>巴西
Brazil</t>
  </si>
  <si>
    <t>BRN</t>
  </si>
  <si>
    <t>汶萊</t>
  </si>
  <si>
    <t>Brunei</t>
  </si>
  <si>
    <t>汶萊
Brunei</t>
  </si>
  <si>
    <t>羅徹斯特理工學院
Rochester Institute of Technology (RIT)</t>
  </si>
  <si>
    <t>MBA</t>
  </si>
  <si>
    <t>企業管理碩士學位學程
GMBA</t>
  </si>
  <si>
    <t>BTN</t>
  </si>
  <si>
    <t>不丹</t>
  </si>
  <si>
    <t>Bhutan</t>
  </si>
  <si>
    <t>北德州大學
University of North Texas (UNT)</t>
  </si>
  <si>
    <t>不丹
Bhutan</t>
  </si>
  <si>
    <t>BWA</t>
  </si>
  <si>
    <t>波札那</t>
  </si>
  <si>
    <t>Botswana</t>
  </si>
  <si>
    <t>波札那
Botswana</t>
  </si>
  <si>
    <t>杜蘭大學
Tulane University</t>
  </si>
  <si>
    <t>CAF</t>
  </si>
  <si>
    <t>華盛頓大學
University of Washington</t>
  </si>
  <si>
    <t>中非共和國</t>
  </si>
  <si>
    <t>Central African Republic</t>
  </si>
  <si>
    <t>中非共和國
Central African Republic</t>
  </si>
  <si>
    <t>明尼蘇達大學
 University of Minnesota</t>
  </si>
  <si>
    <t>CHE</t>
  </si>
  <si>
    <t>瑞士</t>
  </si>
  <si>
    <t>Switzerland</t>
  </si>
  <si>
    <t>瑞士
Switzerland</t>
  </si>
  <si>
    <t>紐澤西理工學院
New Jersey Institute of Technology</t>
  </si>
  <si>
    <t>CHL</t>
  </si>
  <si>
    <t>智利</t>
  </si>
  <si>
    <t>Chile</t>
  </si>
  <si>
    <t>杜克大學
Duke University</t>
  </si>
  <si>
    <t>CHN</t>
  </si>
  <si>
    <t>LL.M</t>
  </si>
  <si>
    <t>大陸地區</t>
  </si>
  <si>
    <t>科技法律
Technology Law</t>
  </si>
  <si>
    <t>Mainland China</t>
  </si>
  <si>
    <t>大陸地區
Mainland China</t>
  </si>
  <si>
    <t>卡內基美隆大學
Carnegie Mellon University</t>
  </si>
  <si>
    <t>CIV</t>
  </si>
  <si>
    <t>象牙海岸</t>
  </si>
  <si>
    <t>Ivory Coast</t>
  </si>
  <si>
    <t>象牙海岸
Ivory Coast</t>
  </si>
  <si>
    <t>CMR</t>
  </si>
  <si>
    <t>喀麥隆</t>
  </si>
  <si>
    <t>Cameroon</t>
  </si>
  <si>
    <t>喀麥隆
Cameroon</t>
  </si>
  <si>
    <t>COD</t>
  </si>
  <si>
    <t>剛果民主共和國</t>
  </si>
  <si>
    <t>Democratic Republic of the Congo</t>
  </si>
  <si>
    <t>剛果民主共和國
Democratic Republic of the Congo</t>
  </si>
  <si>
    <t>COG</t>
  </si>
  <si>
    <t>剛果共和國</t>
  </si>
  <si>
    <t>Republic of the Congo</t>
  </si>
  <si>
    <t>北卡羅萊納州立大學
North Carolina State University</t>
  </si>
  <si>
    <t>剛果共和國
Republic of the Congo</t>
  </si>
  <si>
    <t>MS、PhD</t>
  </si>
  <si>
    <t>管理
Management</t>
  </si>
  <si>
    <t>COL</t>
  </si>
  <si>
    <t>哥倫比亞</t>
  </si>
  <si>
    <t>Colombia</t>
  </si>
  <si>
    <t>約翰馬歇爾法學院
The John Marshall Law School</t>
  </si>
  <si>
    <t>CRI</t>
  </si>
  <si>
    <t>哥斯大黎加</t>
  </si>
  <si>
    <t>Costa Rica</t>
  </si>
  <si>
    <t>哥斯大黎加
Costa Rica</t>
  </si>
  <si>
    <t>加州大學 洛杉磯分校
University of California, Los Angeles (UCLA)</t>
  </si>
  <si>
    <t>MS &amp; PhD</t>
  </si>
  <si>
    <t>CUB</t>
  </si>
  <si>
    <t>半導體
Semiconductor</t>
  </si>
  <si>
    <t>古巴</t>
  </si>
  <si>
    <t>Cuba</t>
  </si>
  <si>
    <t>古巴
Cuba</t>
  </si>
  <si>
    <t>CYP</t>
  </si>
  <si>
    <t>賽普勒斯</t>
  </si>
  <si>
    <t>Cyprus</t>
  </si>
  <si>
    <t>賽普勒斯
Cyprus</t>
  </si>
  <si>
    <t>伊利諾大學 香檳分校
Univeristy of Illinois at Urbana-Champaign (UIUC)</t>
  </si>
  <si>
    <t>(1) 3+2 program
(2) 3+2.5 program</t>
  </si>
  <si>
    <t>(1) 材料科學與工程
Material Science and Engineering
(2) 資訊
Computer Science</t>
  </si>
  <si>
    <t>CZE</t>
  </si>
  <si>
    <t>捷克</t>
  </si>
  <si>
    <t>Czech Republic</t>
  </si>
  <si>
    <t>捷克
Czech Republic</t>
  </si>
  <si>
    <t>DEU</t>
  </si>
  <si>
    <t>加州大學 聖地牙哥分校
University of California, San Diego (UCSD)</t>
  </si>
  <si>
    <t>德國</t>
  </si>
  <si>
    <t>Germany</t>
  </si>
  <si>
    <t>德國
Germany</t>
  </si>
  <si>
    <t>BS-MS 3+2 Program</t>
  </si>
  <si>
    <t>土木工程
Civil Engineering</t>
  </si>
  <si>
    <t>NYCU-MOU</t>
  </si>
  <si>
    <t>DJI</t>
  </si>
  <si>
    <t>吉布地</t>
  </si>
  <si>
    <t>Djibouti</t>
  </si>
  <si>
    <t>吉布地
Djibouti</t>
  </si>
  <si>
    <t>馬里蘭大學 巴爾的摩分校
University of Maryland, Baltimore</t>
  </si>
  <si>
    <t>電機工程
Electrical and Computer Engineering</t>
  </si>
  <si>
    <t>DNK</t>
  </si>
  <si>
    <t>丹麥</t>
  </si>
  <si>
    <t>Denmark</t>
  </si>
  <si>
    <t>丹麥
Denmark</t>
  </si>
  <si>
    <t>凱斯西儲大學
Case Western Reserve University</t>
  </si>
  <si>
    <t>DOM</t>
  </si>
  <si>
    <t>多明尼加</t>
  </si>
  <si>
    <t>Dominican Republic</t>
  </si>
  <si>
    <t>多明尼加
Dominican Republic</t>
  </si>
  <si>
    <t>科羅拉多大學 波德分校
University of Colorado Boulder</t>
  </si>
  <si>
    <t>DZA</t>
  </si>
  <si>
    <t>阿爾及利亞</t>
  </si>
  <si>
    <t>Algeria</t>
  </si>
  <si>
    <t>阿爾及利亞
Algeria</t>
  </si>
  <si>
    <t>普渡大學
Purdue University</t>
  </si>
  <si>
    <t>ECU</t>
  </si>
  <si>
    <t>厄瓜多</t>
  </si>
  <si>
    <t>Ecuador</t>
  </si>
  <si>
    <t>(1) MS 
(2) BS-MS 3+1+1 program</t>
  </si>
  <si>
    <t>厄瓜多
Ecuador</t>
  </si>
  <si>
    <t>(1) 半導體、產學創新、 電機、工、理
Semiconductor, Industry Academia Innovation School (IAIS), Electrical and Computer Engineering, Engineering, Science
(2) 工業工程與管理學系 
Department of Industrial Engineering and Management</t>
  </si>
  <si>
    <t>EGY</t>
  </si>
  <si>
    <t>埃及</t>
  </si>
  <si>
    <t>Egypt</t>
  </si>
  <si>
    <t>埃及
Egypt</t>
  </si>
  <si>
    <t>威斯康辛大學 麥迪遜分校
University of Wisconsin-Madison</t>
  </si>
  <si>
    <t>ERI</t>
  </si>
  <si>
    <t>厄利垂亞</t>
  </si>
  <si>
    <t>Eritrea</t>
  </si>
  <si>
    <t>厄利垂亞
Eritrea</t>
  </si>
  <si>
    <t>俄亥俄州立大學
The Ohio State University</t>
  </si>
  <si>
    <t>ESP</t>
  </si>
  <si>
    <t>西班牙</t>
  </si>
  <si>
    <t>Spain</t>
  </si>
  <si>
    <t>西班牙
Spain</t>
  </si>
  <si>
    <t>EST</t>
  </si>
  <si>
    <t>聖路易斯華盛頓大學
Washington University in St. Louis</t>
  </si>
  <si>
    <t>愛沙尼亞</t>
  </si>
  <si>
    <t>Estonia</t>
  </si>
  <si>
    <t>愛沙尼亞
Estonia</t>
  </si>
  <si>
    <t>(1) BS-MS 3+2 program
(2) MD-MS 4+2 program</t>
  </si>
  <si>
    <t>(1) 資訊
Computer Science
(2) 醫學 
Medicine</t>
  </si>
  <si>
    <t>McDonnell International 
Scholars Academy</t>
  </si>
  <si>
    <t>ETH</t>
  </si>
  <si>
    <t>衣索比亞</t>
  </si>
  <si>
    <t>Ethiopia</t>
  </si>
  <si>
    <t>衣索比亞
Ethiopia</t>
  </si>
  <si>
    <t>福坦莫大學
Fordham University</t>
  </si>
  <si>
    <t>FIN</t>
  </si>
  <si>
    <t>芬蘭</t>
  </si>
  <si>
    <t>Finland</t>
  </si>
  <si>
    <t>芬蘭
Finland</t>
  </si>
  <si>
    <t>FJI</t>
  </si>
  <si>
    <t>紐約州立大學 石溪分校
The State University of New York at Stony Brook</t>
  </si>
  <si>
    <t>斐濟</t>
  </si>
  <si>
    <t>Fiji</t>
  </si>
  <si>
    <t>斐濟
Fiji</t>
  </si>
  <si>
    <t>Bachelor</t>
  </si>
  <si>
    <t>電機院、機械系、外文系、生科系
College of Electrical and Computer Engineering, Mechanical Engineering, Foreign Languages and Literatures, Biological Science and Technology</t>
  </si>
  <si>
    <t>FLK</t>
  </si>
  <si>
    <t>福克蘭群島</t>
  </si>
  <si>
    <t>Falkland Islands</t>
  </si>
  <si>
    <t>福克蘭群島
Falkland Islands</t>
  </si>
  <si>
    <t>密西根州立大學
Michigan State University</t>
  </si>
  <si>
    <t>FRA</t>
  </si>
  <si>
    <t>法國</t>
  </si>
  <si>
    <t>France</t>
  </si>
  <si>
    <t>法國
France</t>
  </si>
  <si>
    <t>加州大學 爾灣分校
University of California, Irvine</t>
  </si>
  <si>
    <t>GUF</t>
  </si>
  <si>
    <t>法屬圭亞那</t>
  </si>
  <si>
    <t>French Guiana</t>
  </si>
  <si>
    <t>法屬圭亞那
French Guiana</t>
  </si>
  <si>
    <t>加州大學 河濱分校
University of California, Riverside</t>
  </si>
  <si>
    <t>(1) MS
(2) 3+1 Program</t>
  </si>
  <si>
    <t xml:space="preserve"> (1)管理
Management
(2)資訊
Computer Science</t>
  </si>
  <si>
    <t>GAB</t>
  </si>
  <si>
    <t>加彭</t>
  </si>
  <si>
    <t>Gabon</t>
  </si>
  <si>
    <t>加彭
Gabon</t>
  </si>
  <si>
    <t>朱尼亞塔學院
Juniata College</t>
  </si>
  <si>
    <t>GBR</t>
  </si>
  <si>
    <t>英國</t>
  </si>
  <si>
    <t>United Kingdom</t>
  </si>
  <si>
    <t>英國
United Kingdom</t>
  </si>
  <si>
    <t>GEO</t>
  </si>
  <si>
    <t>亞利桑那大學
University of Arizona</t>
  </si>
  <si>
    <t>喬治亞</t>
  </si>
  <si>
    <t>Georgia</t>
  </si>
  <si>
    <t>喬治亞
Georgia</t>
  </si>
  <si>
    <t>GHA</t>
  </si>
  <si>
    <t>迦納</t>
  </si>
  <si>
    <t>Ghana</t>
  </si>
  <si>
    <t>迦納
Ghana</t>
  </si>
  <si>
    <t>關島大學
University of Guam</t>
  </si>
  <si>
    <t>GIN</t>
  </si>
  <si>
    <t>幾內亞</t>
  </si>
  <si>
    <t>Guinea</t>
  </si>
  <si>
    <t>幾內亞
Guinea</t>
  </si>
  <si>
    <t>伊凡斯維爾大學
University of Evansville</t>
  </si>
  <si>
    <t>GMB</t>
  </si>
  <si>
    <t>甘比亞</t>
  </si>
  <si>
    <t>Gambia</t>
  </si>
  <si>
    <t>甘比亞
Gambia</t>
  </si>
  <si>
    <t>GNB</t>
  </si>
  <si>
    <t>幾內亞比索</t>
  </si>
  <si>
    <t>Guinea Bissau</t>
  </si>
  <si>
    <t>幾內亞比索
Guinea Bissau</t>
  </si>
  <si>
    <t>GNQ</t>
  </si>
  <si>
    <t>赤道幾內亞</t>
  </si>
  <si>
    <t>Equatorial Guinea</t>
  </si>
  <si>
    <t>赤道幾內亞
Equatorial Guinea</t>
  </si>
  <si>
    <t>佛羅里達大學
University of Florida</t>
  </si>
  <si>
    <t>GRC</t>
  </si>
  <si>
    <t>希臘</t>
  </si>
  <si>
    <t>Greece</t>
  </si>
  <si>
    <t>醫院見習Clinical Rotation</t>
  </si>
  <si>
    <t>希臘
Greece</t>
  </si>
  <si>
    <t>GTM</t>
  </si>
  <si>
    <t>瓜地馬拉</t>
  </si>
  <si>
    <t>密蘇里大學
University of Missouri</t>
  </si>
  <si>
    <t>Guatemala</t>
  </si>
  <si>
    <t>瓜地馬拉
Guatemala</t>
  </si>
  <si>
    <t>GUY</t>
  </si>
  <si>
    <t>亞利桑那州立大學
Arizona State University</t>
  </si>
  <si>
    <t>蓋亞那</t>
  </si>
  <si>
    <t>Guyana</t>
  </si>
  <si>
    <t>蓋亞那
Guyana</t>
  </si>
  <si>
    <t>HND</t>
  </si>
  <si>
    <t>宏都拉斯</t>
  </si>
  <si>
    <t>Honduras</t>
  </si>
  <si>
    <t>宏都拉斯
Honduras</t>
  </si>
  <si>
    <t>約翰霍普金斯大學
Johns Hopkins University</t>
  </si>
  <si>
    <t>HRV</t>
  </si>
  <si>
    <t>克羅埃西亞</t>
  </si>
  <si>
    <t>Croatia</t>
  </si>
  <si>
    <t>克羅埃西亞
Croatia</t>
  </si>
  <si>
    <t>加州大學 聖塔克魯茲分校
University of California, Santa Cruz</t>
  </si>
  <si>
    <t>台聯大系統
University System of Taiwan</t>
  </si>
  <si>
    <t>HTI</t>
  </si>
  <si>
    <t>海地</t>
  </si>
  <si>
    <t>Haiti</t>
  </si>
  <si>
    <t>海地
Haiti</t>
  </si>
  <si>
    <t>威斯康辛大學密爾瓦基分校 
University of Wisconsin-Milwaukee</t>
  </si>
  <si>
    <t>HUN</t>
  </si>
  <si>
    <t>匈牙利</t>
  </si>
  <si>
    <t>Hungary</t>
  </si>
  <si>
    <t>匈牙利
Hungary</t>
  </si>
  <si>
    <t>IDN</t>
  </si>
  <si>
    <t>印尼</t>
  </si>
  <si>
    <t>Indonesia</t>
  </si>
  <si>
    <t>印尼
Indonesia</t>
  </si>
  <si>
    <t>伊利諾大學 芝加哥分校
University of Illinois at Chicago (UIC)</t>
  </si>
  <si>
    <t>IND</t>
  </si>
  <si>
    <t>印度</t>
  </si>
  <si>
    <t>India</t>
  </si>
  <si>
    <t>印度
India</t>
  </si>
  <si>
    <t>伊利諾大學系統 
University of Illinois System</t>
  </si>
  <si>
    <t>IRL</t>
  </si>
  <si>
    <t>臺灣大學學術聯盟
 University Academic Alliance in Taiwan</t>
  </si>
  <si>
    <t>愛爾蘭島</t>
  </si>
  <si>
    <t>Ireland</t>
  </si>
  <si>
    <t>愛爾蘭島
Ireland</t>
  </si>
  <si>
    <t>IRN</t>
  </si>
  <si>
    <t>伊朗</t>
  </si>
  <si>
    <t>Iran</t>
  </si>
  <si>
    <t>伊朗
Iran</t>
  </si>
  <si>
    <t>IRQ</t>
  </si>
  <si>
    <t>伊拉克</t>
  </si>
  <si>
    <t>Iraq</t>
  </si>
  <si>
    <t>伊拉克
Iraq</t>
  </si>
  <si>
    <t>布萊根婦女醫院
Brigham and Women's Hospital</t>
  </si>
  <si>
    <t>ISL</t>
  </si>
  <si>
    <t>冰島</t>
  </si>
  <si>
    <t>Iceland</t>
  </si>
  <si>
    <t>冰島
Iceland</t>
  </si>
  <si>
    <t>ISR</t>
  </si>
  <si>
    <t>以色列</t>
  </si>
  <si>
    <t>Israel</t>
  </si>
  <si>
    <t>以色列
Israel</t>
  </si>
  <si>
    <t>史丹佛大學 
Stanford University</t>
  </si>
  <si>
    <t>ITA</t>
  </si>
  <si>
    <t>義大利</t>
  </si>
  <si>
    <t>Italy</t>
  </si>
  <si>
    <t>義大利
Italy</t>
  </si>
  <si>
    <t>JAM</t>
  </si>
  <si>
    <t>牙買加</t>
  </si>
  <si>
    <t>Jamaica</t>
  </si>
  <si>
    <t>牙買加
Jamaica</t>
  </si>
  <si>
    <t>德州大學系統
The University of Texas System</t>
  </si>
  <si>
    <t>JOR</t>
  </si>
  <si>
    <t>約旦</t>
  </si>
  <si>
    <t>Jordan</t>
  </si>
  <si>
    <t>約旦
Jordan</t>
  </si>
  <si>
    <t>JPN</t>
  </si>
  <si>
    <t>日本</t>
  </si>
  <si>
    <t>Japan</t>
  </si>
  <si>
    <t>日本
Japan</t>
  </si>
  <si>
    <t>KAZ</t>
  </si>
  <si>
    <t>哈薩克</t>
  </si>
  <si>
    <t>Kazakhstan</t>
  </si>
  <si>
    <t>哈薩克
Kazakhstan</t>
  </si>
  <si>
    <t>KEN</t>
  </si>
  <si>
    <t>德克薩斯A&amp;M大學系統
The Texas A&amp;M University System</t>
  </si>
  <si>
    <t>肯亞</t>
  </si>
  <si>
    <t>Kenya</t>
  </si>
  <si>
    <t>肯亞
Kenya</t>
  </si>
  <si>
    <t>KGZ</t>
  </si>
  <si>
    <t>吉爾吉斯</t>
  </si>
  <si>
    <t>Kyrgyzstan</t>
  </si>
  <si>
    <t>吉爾吉斯
Kyrgyzstan</t>
  </si>
  <si>
    <t>天普大學
Temple University</t>
  </si>
  <si>
    <t>KHM</t>
  </si>
  <si>
    <t>柬埔寨</t>
  </si>
  <si>
    <t>Cambodia</t>
  </si>
  <si>
    <t>柬埔寨
Cambodia</t>
  </si>
  <si>
    <t>BS+MS 3+2
MS 1+1</t>
  </si>
  <si>
    <t>ALL</t>
  </si>
  <si>
    <t>KOR</t>
  </si>
  <si>
    <t>韓國</t>
  </si>
  <si>
    <t>South Korea</t>
  </si>
  <si>
    <t>韓國
South Korea</t>
  </si>
  <si>
    <t>德州大學休士頓醫學中心
The University of Texas health science center at Houston</t>
  </si>
  <si>
    <t>KWT</t>
  </si>
  <si>
    <t>科威特</t>
  </si>
  <si>
    <t>Kuwait</t>
  </si>
  <si>
    <t>科威特
Kuwait</t>
  </si>
  <si>
    <t>LAO</t>
  </si>
  <si>
    <t>寮國</t>
  </si>
  <si>
    <t>Laos</t>
  </si>
  <si>
    <t>寮國
Laos</t>
  </si>
  <si>
    <t>德州健康與科學大學
Texas Health and Science University</t>
  </si>
  <si>
    <t>LBN</t>
  </si>
  <si>
    <t>黎巴嫩</t>
  </si>
  <si>
    <t>Lebanon</t>
  </si>
  <si>
    <t>黎巴嫩
Lebanon</t>
  </si>
  <si>
    <t>LBR</t>
  </si>
  <si>
    <t>賴比瑞亞</t>
  </si>
  <si>
    <t>內布拉斯加大學
University of Nebraska</t>
  </si>
  <si>
    <t>Liberia</t>
  </si>
  <si>
    <t>賴比瑞亞
Liberia</t>
  </si>
  <si>
    <t>LBY</t>
  </si>
  <si>
    <t>Clinical Experience</t>
  </si>
  <si>
    <t>利比亞</t>
  </si>
  <si>
    <t>Libya</t>
  </si>
  <si>
    <t>利比亞
Libya</t>
  </si>
  <si>
    <t>LKA</t>
  </si>
  <si>
    <t>斯里蘭卡</t>
  </si>
  <si>
    <t>Sri Lanka</t>
  </si>
  <si>
    <t>內華達大學 拉斯維加斯分校
University of Nevada, Las Vegas</t>
  </si>
  <si>
    <t>斯里蘭卡
Sri Lanka</t>
  </si>
  <si>
    <t>BS+MS 4+3</t>
  </si>
  <si>
    <t>物理治療
Physical Therapy</t>
  </si>
  <si>
    <t>LSO</t>
  </si>
  <si>
    <t>賴索托</t>
  </si>
  <si>
    <t>Lesotho</t>
  </si>
  <si>
    <t>賴索托
Lesotho</t>
  </si>
  <si>
    <t>萊斯大學
Rice University</t>
  </si>
  <si>
    <t>LTU</t>
  </si>
  <si>
    <t>立陶宛</t>
  </si>
  <si>
    <t>Lithuania</t>
  </si>
  <si>
    <t>立陶宛
Lithuania</t>
  </si>
  <si>
    <t>LUX</t>
  </si>
  <si>
    <t>盧森堡</t>
  </si>
  <si>
    <t>Luxembourg</t>
  </si>
  <si>
    <t>盧森堡
Luxembourg</t>
  </si>
  <si>
    <t>紐約州立大學 奧斯威格分校
State University of New York at Oswego</t>
  </si>
  <si>
    <t>LVA</t>
  </si>
  <si>
    <t>拉脫維亞</t>
  </si>
  <si>
    <t>Latvia</t>
  </si>
  <si>
    <t>拉脫維亞
Latvia</t>
  </si>
  <si>
    <t>西北大學
Northwestern University</t>
  </si>
  <si>
    <t>MAR</t>
  </si>
  <si>
    <t>摩洛哥</t>
  </si>
  <si>
    <t>Morocco</t>
  </si>
  <si>
    <t>摩洛哥
Morocco</t>
  </si>
  <si>
    <t>MDA</t>
  </si>
  <si>
    <t>摩爾多瓦</t>
  </si>
  <si>
    <t>南加州大學
University of Southern California</t>
  </si>
  <si>
    <t>Moldova</t>
  </si>
  <si>
    <t>摩爾多瓦
Moldova</t>
  </si>
  <si>
    <t>MDG</t>
  </si>
  <si>
    <t>馬達加斯加</t>
  </si>
  <si>
    <t>Madagascar</t>
  </si>
  <si>
    <t>馬達加斯加
Madagascar</t>
  </si>
  <si>
    <t>密西根大學
University of Michigan</t>
  </si>
  <si>
    <t>MEX</t>
  </si>
  <si>
    <t>墨西哥</t>
  </si>
  <si>
    <t>Mexico</t>
  </si>
  <si>
    <t>MKD</t>
  </si>
  <si>
    <t>馬其頓共和國</t>
  </si>
  <si>
    <t>Macedonia</t>
  </si>
  <si>
    <t>馬其頓共和國
Macedonia</t>
  </si>
  <si>
    <t>懷俄明大學 
University of Wyoming</t>
  </si>
  <si>
    <t>MLI</t>
  </si>
  <si>
    <t>馬利</t>
  </si>
  <si>
    <t>Mali</t>
  </si>
  <si>
    <t>馬利
Mali</t>
  </si>
  <si>
    <t>瓦爾多斯塔州立大學
Valdosta State University</t>
  </si>
  <si>
    <t>MMR</t>
  </si>
  <si>
    <t>緬甸</t>
  </si>
  <si>
    <t>Myanmar</t>
  </si>
  <si>
    <t>緬甸
Myanmar</t>
  </si>
  <si>
    <t>MNE</t>
  </si>
  <si>
    <t>蒙特內哥羅</t>
  </si>
  <si>
    <t>Montenegro</t>
  </si>
  <si>
    <t>蒙特內哥羅
Montenegro</t>
  </si>
  <si>
    <t>丹麥科技大學
Technical University of Denmark</t>
  </si>
  <si>
    <t>MNG</t>
  </si>
  <si>
    <t>蒙古國</t>
  </si>
  <si>
    <t>Mongolia</t>
  </si>
  <si>
    <t>蒙古國
Mongolia</t>
  </si>
  <si>
    <t>南丹麥大學
University of Southern Denmark (SDU)</t>
  </si>
  <si>
    <t>MOZ</t>
  </si>
  <si>
    <t>莫三比克</t>
  </si>
  <si>
    <t>Mozambique</t>
  </si>
  <si>
    <t>莫三比克
Mozambique</t>
  </si>
  <si>
    <t>MRT</t>
  </si>
  <si>
    <t>茅利塔尼亞</t>
  </si>
  <si>
    <t>Mauritania</t>
  </si>
  <si>
    <t>校際微電子中心
Interuniversity Microelectronics Centre (IMEC)</t>
  </si>
  <si>
    <t>茅利塔尼亞
Mauritania</t>
  </si>
  <si>
    <t>PhD
(w/ KU Leuven)</t>
  </si>
  <si>
    <t>電機、資訊、工、理、生科、半導體
electrical engineering, computer science, engineering, science, bioengineering, semiconductor technology</t>
  </si>
  <si>
    <t>MWI</t>
  </si>
  <si>
    <t>馬拉威</t>
  </si>
  <si>
    <t>Malawi</t>
  </si>
  <si>
    <t>馬拉威
Malawi</t>
  </si>
  <si>
    <t>魯汶大學
KU Leuven</t>
  </si>
  <si>
    <t>MYS</t>
  </si>
  <si>
    <t>MS
PhD (w/ IMEC)</t>
  </si>
  <si>
    <t>馬來西亞</t>
  </si>
  <si>
    <t>電機、資訊、工、理、產創、半導體
electrical engineering, computer science, engineering, science, semiconductor technology, industry academia innovation</t>
  </si>
  <si>
    <t>Malaysia</t>
  </si>
  <si>
    <t>馬來西亞
Malaysia</t>
  </si>
  <si>
    <t>安特衛普大學
University of Antwerp</t>
  </si>
  <si>
    <t>V (含交換incl. student exchange)</t>
  </si>
  <si>
    <t>NAM</t>
  </si>
  <si>
    <t>納米比亞</t>
  </si>
  <si>
    <t>Namibia</t>
  </si>
  <si>
    <t>納米比亞
Namibia</t>
  </si>
  <si>
    <t>NCL</t>
  </si>
  <si>
    <t>布魯塞爾自由大學
Universite Libre de Bruxelles (ULB)</t>
  </si>
  <si>
    <t>新喀里多尼亞</t>
  </si>
  <si>
    <t>New Caledonia</t>
  </si>
  <si>
    <t>新喀里多尼亞
New Caledonia</t>
  </si>
  <si>
    <t>NER</t>
  </si>
  <si>
    <t>尼日</t>
  </si>
  <si>
    <t>Niger</t>
  </si>
  <si>
    <t>蒙斯大學
University of Mons</t>
  </si>
  <si>
    <t>尼日
Niger</t>
  </si>
  <si>
    <t>電機、資訊、工、理、科技法律
electrical engineering, computer science, engineering, science, law</t>
  </si>
  <si>
    <t>NGA</t>
  </si>
  <si>
    <t>奈及利亞</t>
  </si>
  <si>
    <t>Nigeria</t>
  </si>
  <si>
    <t>奈及利亞
Nigeria</t>
  </si>
  <si>
    <t>維爾紐斯格迪米尼茲科技大學
Vilnius Gediminas Technical University</t>
  </si>
  <si>
    <t>NIC</t>
  </si>
  <si>
    <t>尼加拉瓜</t>
  </si>
  <si>
    <t>Nicaragua</t>
  </si>
  <si>
    <t>尼加拉瓜
Nicaragua</t>
  </si>
  <si>
    <t>維爾紐斯大學
Vilnius University</t>
  </si>
  <si>
    <t>NLD</t>
  </si>
  <si>
    <t>荷蘭</t>
  </si>
  <si>
    <t>Netherlands</t>
  </si>
  <si>
    <t>荷蘭
Netherlands</t>
  </si>
  <si>
    <t>NOR</t>
  </si>
  <si>
    <t>挪威</t>
  </si>
  <si>
    <t>Norway</t>
  </si>
  <si>
    <t>挪威
Norway</t>
  </si>
  <si>
    <t>布達佩斯科技經濟大學
Budapest University of Technology and Economics</t>
  </si>
  <si>
    <t>NPL</t>
  </si>
  <si>
    <t>尼泊爾</t>
  </si>
  <si>
    <t>Nepal</t>
  </si>
  <si>
    <t>尼泊爾
Nepal</t>
  </si>
  <si>
    <t>羅蘭大學
Eötvös Loránd University</t>
  </si>
  <si>
    <t>NZL</t>
  </si>
  <si>
    <t>紐西蘭</t>
  </si>
  <si>
    <t>New Zealand</t>
  </si>
  <si>
    <t>OMN</t>
  </si>
  <si>
    <t>南特大學
Université de Nantes</t>
  </si>
  <si>
    <t>阿曼</t>
  </si>
  <si>
    <t>Oman</t>
  </si>
  <si>
    <t>阿曼
Oman</t>
  </si>
  <si>
    <t>PAK</t>
  </si>
  <si>
    <t>巴基斯坦</t>
  </si>
  <si>
    <t>聖太田大學
Université Jean Monnet, Saint-Etienne</t>
  </si>
  <si>
    <t>Pakistan</t>
  </si>
  <si>
    <t>巴基斯坦
Pakistan</t>
  </si>
  <si>
    <t>PAN</t>
  </si>
  <si>
    <t>巴拿馬</t>
  </si>
  <si>
    <t>Panama</t>
  </si>
  <si>
    <t>巴拿馬
Panama</t>
  </si>
  <si>
    <t>n+i 理工學院聯盟
Network n+i Engineering Institutes</t>
  </si>
  <si>
    <t>PER</t>
  </si>
  <si>
    <t>秘魯</t>
  </si>
  <si>
    <t>Peru</t>
  </si>
  <si>
    <t>中央理工-高等電力學院
CentraleSupélec</t>
  </si>
  <si>
    <t>MS, PhD</t>
  </si>
  <si>
    <t>PHL</t>
  </si>
  <si>
    <t>菲律賓</t>
  </si>
  <si>
    <t>電機、資訊
Electrical and Computer Engineering/ Computer Science</t>
  </si>
  <si>
    <t>Philippines</t>
  </si>
  <si>
    <t>原: 高等電力學院
Former: École supérieure d’électricité (SUPELEC)
NYCU</t>
  </si>
  <si>
    <t>菲律賓
Philippines</t>
  </si>
  <si>
    <t>南巴黎電信學校
Telecom SudParis (TSP)</t>
  </si>
  <si>
    <t>PNG</t>
  </si>
  <si>
    <t>巴布亞紐幾內亞</t>
  </si>
  <si>
    <t>電機、資訊、工、理、光電
Electrical and Computer Engineering/ Computer Science/Engineering/ Science/ Photonics</t>
  </si>
  <si>
    <t>Papua New Guinea</t>
  </si>
  <si>
    <t>巴布亞紐幾內亞
Papua New Guinea</t>
  </si>
  <si>
    <t>POL</t>
  </si>
  <si>
    <t>波蘭</t>
  </si>
  <si>
    <t>Poland</t>
  </si>
  <si>
    <t>波蘭
Poland</t>
  </si>
  <si>
    <t>巴黎高等電子學院
Institut supérieur d'électronique de Paris (ISEP)</t>
  </si>
  <si>
    <t>PRI</t>
  </si>
  <si>
    <t>波多黎各</t>
  </si>
  <si>
    <t>Puerto Rico</t>
  </si>
  <si>
    <t>波多黎各
Puerto Rico</t>
  </si>
  <si>
    <t>圖盧茲第三大學
University Paul Sabatier-Toulouse III</t>
  </si>
  <si>
    <t>PRK</t>
  </si>
  <si>
    <t>朝鮮民主主義人民共和國</t>
  </si>
  <si>
    <t>North Korea</t>
  </si>
  <si>
    <t>朝鮮民主主義人民共和國
North Korea</t>
  </si>
  <si>
    <t>里昂第三大學
Jean Moulin University-Lyon 3</t>
  </si>
  <si>
    <t>PRT</t>
  </si>
  <si>
    <t>葡萄牙</t>
  </si>
  <si>
    <t>Portugal</t>
  </si>
  <si>
    <t>葡萄牙
Portugal</t>
  </si>
  <si>
    <t>PRY</t>
  </si>
  <si>
    <t>雷恩商學院
ESC Rennes School of Business</t>
  </si>
  <si>
    <t>巴拉圭</t>
  </si>
  <si>
    <t>Paraguay</t>
  </si>
  <si>
    <t>巴拉圭
Paraguay</t>
  </si>
  <si>
    <t>BS+MS</t>
  </si>
  <si>
    <t>原: 產業物流研究學院
Former: École supérieure de logistique industrielle</t>
  </si>
  <si>
    <t>QAT</t>
  </si>
  <si>
    <t>卡達</t>
  </si>
  <si>
    <t>Qatar</t>
  </si>
  <si>
    <t>卡達
Qatar</t>
  </si>
  <si>
    <t>特魯瓦科技大學
University of Technology of Troyes</t>
  </si>
  <si>
    <t>ROU</t>
  </si>
  <si>
    <t>羅馬尼亞</t>
  </si>
  <si>
    <t>Romania</t>
  </si>
  <si>
    <t>羅馬尼亞
Romania</t>
  </si>
  <si>
    <t>聖艾蒂安礦業學院
Ecole des Mines de Saint-Etienne</t>
  </si>
  <si>
    <t>RUS</t>
  </si>
  <si>
    <t>俄羅斯</t>
  </si>
  <si>
    <t>電機、理
Electrical and Computer Engineering/ Science</t>
  </si>
  <si>
    <t>Russia</t>
  </si>
  <si>
    <t>俄羅斯
Russia</t>
  </si>
  <si>
    <t>RWA</t>
  </si>
  <si>
    <t>盧安達</t>
  </si>
  <si>
    <t>Y Schools精英高等院校聯盟
Y Schools</t>
  </si>
  <si>
    <t>Rwanda</t>
  </si>
  <si>
    <t>盧安達
Rwanda</t>
  </si>
  <si>
    <t>原: 特魯瓦高等管理學院
Former: Groupe ESC Troyes</t>
  </si>
  <si>
    <t>ESH</t>
  </si>
  <si>
    <t>西撒哈拉</t>
  </si>
  <si>
    <t>Western Sahara</t>
  </si>
  <si>
    <t>西撒哈拉
Western Sahara</t>
  </si>
  <si>
    <t>礦業學院-電信商學院
Institut Mines-Telecom Business School (IMT-BS)</t>
  </si>
  <si>
    <t>SAU</t>
  </si>
  <si>
    <t>沙烏地阿拉伯</t>
  </si>
  <si>
    <t>Saudi Arabia</t>
  </si>
  <si>
    <t>沙烏地阿拉伯
Saudi Arabia</t>
  </si>
  <si>
    <t>貢比涅工程技術大學
Université de Technologie Compiègne (UTC)</t>
  </si>
  <si>
    <t>SDN</t>
  </si>
  <si>
    <t>蘇丹共和國</t>
  </si>
  <si>
    <t>Sudan</t>
  </si>
  <si>
    <t>蘇丹共和國
Sudan</t>
  </si>
  <si>
    <t>SSD</t>
  </si>
  <si>
    <t>KEDGE高等商學院
KEDGE Business School</t>
  </si>
  <si>
    <t>南蘇丹</t>
  </si>
  <si>
    <t>South Sudan</t>
  </si>
  <si>
    <t>南蘇丹
South Sudan</t>
  </si>
  <si>
    <t>SEN</t>
  </si>
  <si>
    <t>塞內加爾</t>
  </si>
  <si>
    <t>Senegal</t>
  </si>
  <si>
    <t>塞內加爾
Senegal</t>
  </si>
  <si>
    <t>SLB</t>
  </si>
  <si>
    <t>索羅門群島</t>
  </si>
  <si>
    <t>Solomon Islands</t>
  </si>
  <si>
    <t>索羅門群島
Solomon Islands</t>
  </si>
  <si>
    <t>SLE</t>
  </si>
  <si>
    <t>獅子山共和國</t>
  </si>
  <si>
    <t>Sierra Leone</t>
  </si>
  <si>
    <t>獅子山共和國
Sierra Leone</t>
  </si>
  <si>
    <t>CY塞爾吉-巴黎大學
CY Cergy Paris University</t>
  </si>
  <si>
    <t>SLV</t>
  </si>
  <si>
    <t>薩爾瓦多</t>
  </si>
  <si>
    <t>El Salvador</t>
  </si>
  <si>
    <t>薩爾瓦多
El Salvador</t>
  </si>
  <si>
    <t>SOM</t>
  </si>
  <si>
    <t>巴黎第十二大學
University Paris-Est Créteil (UPEC)</t>
  </si>
  <si>
    <t>索馬利亞</t>
  </si>
  <si>
    <t>Somalia</t>
  </si>
  <si>
    <t>索馬利亞
Somalia</t>
  </si>
  <si>
    <t>SRB</t>
  </si>
  <si>
    <t>塞爾維亞</t>
  </si>
  <si>
    <t>Republic of Serbia</t>
  </si>
  <si>
    <t>塞爾維亞
Republic of Serbia</t>
  </si>
  <si>
    <t>諾曼第管理學院
Ecole de Management de Normandie</t>
  </si>
  <si>
    <t>SUR</t>
  </si>
  <si>
    <t>蘇利南</t>
  </si>
  <si>
    <t>Suriname</t>
  </si>
  <si>
    <t>蘇利南
Suriname</t>
  </si>
  <si>
    <t>SVK</t>
  </si>
  <si>
    <t>斯洛伐克</t>
  </si>
  <si>
    <t>Slovakia</t>
  </si>
  <si>
    <t>斯洛伐克
Slovakia</t>
  </si>
  <si>
    <t>波爾多大學
University of Bordeaux</t>
  </si>
  <si>
    <t>SKEMA商學院
SKEMA Business School</t>
  </si>
  <si>
    <t>SVN</t>
  </si>
  <si>
    <t>斯洛維尼亞</t>
  </si>
  <si>
    <t>Slovenia</t>
  </si>
  <si>
    <t>斯洛維尼亞
Slovenia</t>
  </si>
  <si>
    <t>SWE</t>
  </si>
  <si>
    <t>瑞典</t>
  </si>
  <si>
    <t>Sweden</t>
  </si>
  <si>
    <t>瑞典
Sweden</t>
  </si>
  <si>
    <t>SWZ</t>
  </si>
  <si>
    <t>史瓦濟蘭</t>
  </si>
  <si>
    <t>Swaziland</t>
  </si>
  <si>
    <t>史瓦濟蘭
Swaziland</t>
  </si>
  <si>
    <t>ECAM LaSalle工程師學校
ECAM LaSalle</t>
  </si>
  <si>
    <t>NYCU
原: 里昂天主教工藝技術學院
Former: Ecole Catholique d'Art et Metiers de Lyon (ECAM Lyon)</t>
  </si>
  <si>
    <t>SYR</t>
  </si>
  <si>
    <t>敘利亞</t>
  </si>
  <si>
    <t>Syria</t>
  </si>
  <si>
    <t>敘利亞
Syria</t>
  </si>
  <si>
    <t>阿爾比-加莫國立高等礦業學校
IMT Ecole Nationale Supérieure des Mines d’Albi-Carmaux</t>
  </si>
  <si>
    <t>TCD</t>
  </si>
  <si>
    <t>查德</t>
  </si>
  <si>
    <t>Chad</t>
  </si>
  <si>
    <t>查德
Chad</t>
  </si>
  <si>
    <t>生物技術高等學院
Sup'Biotech Paris</t>
  </si>
  <si>
    <t>TGO</t>
  </si>
  <si>
    <t>多哥</t>
  </si>
  <si>
    <t>Togo</t>
  </si>
  <si>
    <t>多哥
Togo</t>
  </si>
  <si>
    <t>機電特殊大學
ESME School of Engineering</t>
  </si>
  <si>
    <t>THA</t>
  </si>
  <si>
    <t>泰國</t>
  </si>
  <si>
    <t>Thailand</t>
  </si>
  <si>
    <t>泰國
Thailand</t>
  </si>
  <si>
    <t>史特拉斯堡大學
University of Strasbourg</t>
  </si>
  <si>
    <t>TJK</t>
  </si>
  <si>
    <t>塔吉克</t>
  </si>
  <si>
    <t>Tajikistan</t>
  </si>
  <si>
    <t>塔吉克
Tajikistan</t>
  </si>
  <si>
    <t>國立圖盧茲應用科學學院
INSA Toulouse</t>
  </si>
  <si>
    <t>TKM</t>
  </si>
  <si>
    <t>土庫曼</t>
  </si>
  <si>
    <t>Turkmenistan</t>
  </si>
  <si>
    <t>土庫曼
Turkmenistan</t>
  </si>
  <si>
    <t>國立史特拉斯堡應用科學學院
INSA Strasbourg</t>
  </si>
  <si>
    <t>巴黎-薩克雷大學
Université Paris Saclay</t>
  </si>
  <si>
    <t>電機、資訊、工、半導體、光電
Electrical and Computer Engineering/ Computer Science/Engineering/ Semiconductor/ Photonics</t>
  </si>
  <si>
    <t>NYCU
2020.01.01起，巴黎第十一大學(Université Paris-Sud)併入巴黎-薩克雷大學(Université Paris-Saclay)，合約仍有效。</t>
  </si>
  <si>
    <t>TLS</t>
  </si>
  <si>
    <t>東帝汶</t>
  </si>
  <si>
    <t>East Timor</t>
  </si>
  <si>
    <t>巴黎綜合理工學院
Ecole Polytechnique</t>
  </si>
  <si>
    <t>東帝汶
East Timor</t>
  </si>
  <si>
    <t>TTO</t>
  </si>
  <si>
    <t>巴黎高等電信學校
Télécom ParisTech</t>
  </si>
  <si>
    <t>千里達及托巴哥</t>
  </si>
  <si>
    <t>Trinidad and Tobago</t>
  </si>
  <si>
    <t>千里達及托巴哥
Trinidad and Tobago</t>
  </si>
  <si>
    <t>TUN</t>
  </si>
  <si>
    <t>突尼西亞</t>
  </si>
  <si>
    <t>Tunisia</t>
  </si>
  <si>
    <t>突尼西亞
Tunisia</t>
  </si>
  <si>
    <t>TUR</t>
  </si>
  <si>
    <t>土耳其</t>
  </si>
  <si>
    <t>Turkey</t>
  </si>
  <si>
    <t>雷恩第一大學 國立應用科學與科技高等學院
University of Rennes 1 ENSSAT</t>
  </si>
  <si>
    <t>土耳其
Turkey</t>
  </si>
  <si>
    <t>TWN</t>
  </si>
  <si>
    <t>勃根地商學院
Burgundy School of Business (BSB)</t>
  </si>
  <si>
    <t>中華民國</t>
  </si>
  <si>
    <t>Taiwan</t>
  </si>
  <si>
    <t>中華民國
Taiwan</t>
  </si>
  <si>
    <t>TZA</t>
  </si>
  <si>
    <t>坦尚尼亞</t>
  </si>
  <si>
    <t>上阿爾薩斯大學
Université de Haute-Alsace (UHA)</t>
  </si>
  <si>
    <t>United Republic of Tanzania</t>
  </si>
  <si>
    <t>坦尚尼亞
United Republic of Tanzania</t>
  </si>
  <si>
    <t>UGA</t>
  </si>
  <si>
    <t>IPAG高等商學院
IPAG Business School</t>
  </si>
  <si>
    <t>烏干達</t>
  </si>
  <si>
    <t>Uganda</t>
  </si>
  <si>
    <t>烏干達
Uganda</t>
  </si>
  <si>
    <t>Figure Network聯盟
Figure Network</t>
  </si>
  <si>
    <t>UKR</t>
  </si>
  <si>
    <t>烏克蘭</t>
  </si>
  <si>
    <t>Ukraine</t>
  </si>
  <si>
    <t>烏克蘭
Ukraine</t>
  </si>
  <si>
    <t>南特國立高等礦業學校
IMT Atlantique Bretagne Pays de la Loire (IMT Atlantique)</t>
  </si>
  <si>
    <t>URY</t>
  </si>
  <si>
    <t>烏拉圭</t>
  </si>
  <si>
    <t>Uruguay</t>
  </si>
  <si>
    <t>烏拉圭
Uruguay</t>
  </si>
  <si>
    <t>里昂第二大學
University of Lumiere Lyon2</t>
  </si>
  <si>
    <t>UZB</t>
  </si>
  <si>
    <t>烏茲別克</t>
  </si>
  <si>
    <t>Uzbekistan</t>
  </si>
  <si>
    <t>烏茲別克
Uzbekistan</t>
  </si>
  <si>
    <t>朱尼亞工程研究院
 JUNIA</t>
  </si>
  <si>
    <t>VEN</t>
  </si>
  <si>
    <t>委內瑞拉</t>
  </si>
  <si>
    <t>Venezuela</t>
  </si>
  <si>
    <t>委內瑞拉
Venezuela</t>
  </si>
  <si>
    <t>巴黎第十三大學
Université Sorbonne Paris Nord</t>
  </si>
  <si>
    <t>VNM</t>
  </si>
  <si>
    <t>越南</t>
  </si>
  <si>
    <t>Vietnam</t>
  </si>
  <si>
    <t>越南
Vietnam</t>
  </si>
  <si>
    <t>格勒諾布爾大學
Université Grenoble Alpes</t>
  </si>
  <si>
    <t>VUT</t>
  </si>
  <si>
    <t>萬那杜</t>
  </si>
  <si>
    <t>Vanuatu</t>
  </si>
  <si>
    <t>萬那杜
Vanuatu</t>
  </si>
  <si>
    <t>華沙大學
University of Warsaw</t>
  </si>
  <si>
    <t>PSE</t>
  </si>
  <si>
    <t>約旦河西岸地區</t>
  </si>
  <si>
    <t>West Bank</t>
  </si>
  <si>
    <t>約旦河西岸地區
West Bank</t>
  </si>
  <si>
    <t>于韋斯屈萊大學
University of Jyvaskyla</t>
  </si>
  <si>
    <t>YEM</t>
  </si>
  <si>
    <t>葉門</t>
  </si>
  <si>
    <t>Yemen</t>
  </si>
  <si>
    <t>葉門
Yemen</t>
  </si>
  <si>
    <t>漢肯經濟學院
Hanken School of Economics</t>
  </si>
  <si>
    <t>ZAF</t>
  </si>
  <si>
    <t>南非</t>
  </si>
  <si>
    <t>于韋斯屈萊應用科學大學
JAMK University of Applied Sciences</t>
  </si>
  <si>
    <t>South Africa</t>
  </si>
  <si>
    <t>南非
South Africa</t>
  </si>
  <si>
    <t>ZMB</t>
  </si>
  <si>
    <t>尚比亞</t>
  </si>
  <si>
    <t>Zambia</t>
  </si>
  <si>
    <t>尚比亞
Zambia</t>
  </si>
  <si>
    <t>阿格德爾大學
University of Agder</t>
  </si>
  <si>
    <t>NYCU-校級</t>
  </si>
  <si>
    <t>ZWE</t>
  </si>
  <si>
    <t>辛巴威</t>
  </si>
  <si>
    <t>Zimbabwe</t>
  </si>
  <si>
    <t>里茲大學
University of Leeds</t>
  </si>
  <si>
    <t>辛巴威
Zimbabwe</t>
  </si>
  <si>
    <t>運輸管理
Transportation and Logistics Management</t>
  </si>
  <si>
    <t>SGP</t>
  </si>
  <si>
    <t>新加坡</t>
  </si>
  <si>
    <t>Republic of Singapore</t>
  </si>
  <si>
    <t>新加坡
Republic of Singapore</t>
  </si>
  <si>
    <t>南安普敦大學
University of Southampton</t>
  </si>
  <si>
    <t>HKG</t>
  </si>
  <si>
    <t>電子工程
Electronics Engineering</t>
  </si>
  <si>
    <t>香港</t>
  </si>
  <si>
    <t>Hong Kong</t>
  </si>
  <si>
    <t>香港
Hong Kong</t>
  </si>
  <si>
    <t>薩里大學
University of Surrey</t>
  </si>
  <si>
    <t>MAC</t>
  </si>
  <si>
    <t>澳門</t>
  </si>
  <si>
    <t>Machu</t>
  </si>
  <si>
    <t>澳門
Machu</t>
  </si>
  <si>
    <t>雪菲爾大學
University of Sheffield</t>
  </si>
  <si>
    <t>PYF</t>
  </si>
  <si>
    <t>玻里尼西亞 (大溪地)</t>
  </si>
  <si>
    <t>Polynesia (Tahitia)</t>
  </si>
  <si>
    <t>伯明翰大學
University of Birmingham</t>
  </si>
  <si>
    <t>劍橋大學
University of Cambridge</t>
  </si>
  <si>
    <t xml:space="preserve">
</t>
  </si>
  <si>
    <t>短期課程
Summer/ Semester Program</t>
  </si>
  <si>
    <t>樸茨茅斯大學
University of Portsmouth</t>
  </si>
  <si>
    <t>英國國家高齡創新中心 
National Innovation Centre Ageing (NICA)</t>
  </si>
  <si>
    <t>布爾諾科技大學
Brno University of Technology</t>
  </si>
  <si>
    <t>馬薩里克大學
Masaryk University</t>
  </si>
  <si>
    <t>布拉格捷克理工大學
Czech Technical University in Prague (CTU)</t>
  </si>
  <si>
    <t>俄斯特拉發大學
University of Ostrava</t>
  </si>
  <si>
    <t>帕拉茨基大學
Palacký University Olomouc</t>
  </si>
  <si>
    <t>布拉格查理大學
Charles University</t>
  </si>
  <si>
    <t>堤亞斯商學院
TIAS School for Business and Society</t>
  </si>
  <si>
    <t>拉德堡德大學
Radboud University Nijmegen</t>
  </si>
  <si>
    <t>湍特大學
University of Twente</t>
  </si>
  <si>
    <t>葛洛寧恩大學
University of Groningen</t>
  </si>
  <si>
    <t>鹿特丹伊拉斯莫斯大學
Erasmus University Rotterdam</t>
  </si>
  <si>
    <t>恩荷芬理工大學 
Eindhoven University of Technology (TU/e)</t>
  </si>
  <si>
    <t>電機、資訊、工、
半導體、產學創新、理
Electrical and Computer Engineering/ 
Computer Science/Engineering/ Semiconductor/ Industry Academia Innovation School (IAIS)/Science</t>
  </si>
  <si>
    <t>維也納大學
University of Vienna</t>
  </si>
  <si>
    <t>格拉茨科技大學
Graz University of Technology</t>
  </si>
  <si>
    <t>蘇黎世應用科學大學
Zurich University of Applied Science (ZHAW)</t>
  </si>
  <si>
    <t>蘇黎世聯邦理工學院
ETH Zurich - Swiss Federal Institute of Technology</t>
  </si>
  <si>
    <t>伯恩大學
University of Bern</t>
  </si>
  <si>
    <t>查默斯理工大學
Chalmers University of Technology</t>
  </si>
  <si>
    <t>林雪平大學
Linkoping University</t>
  </si>
  <si>
    <t>皇家理工學院
KTH Royal Institute of Technology</t>
  </si>
  <si>
    <t xml:space="preserve">帕多瓦大學
University of Padua </t>
  </si>
  <si>
    <t>訪問學者及學生短研Visiting Professor &amp; Student Short-term Research Program</t>
  </si>
  <si>
    <t>帕爾馬大學
University of Parma</t>
  </si>
  <si>
    <t>米蘭理工大學
Politecnico di Milano (Polimi)</t>
  </si>
  <si>
    <t>佈雷西亞大學
University of Brescia</t>
  </si>
  <si>
    <t>阿威羅大學
Aveiro University</t>
  </si>
  <si>
    <t>塞維亞大學
University of Seville</t>
  </si>
  <si>
    <t>格拉納達大學
University of Granada</t>
  </si>
  <si>
    <t>馬德里卡洛斯三世大學
Universidad Carlos III de Madrid (UC3M)</t>
  </si>
  <si>
    <t>巴塞隆納大學
University of Barcelona</t>
  </si>
  <si>
    <t>瓦倫西亞天主教大學
Universidad Catolica De Valencia(UCV)</t>
  </si>
  <si>
    <t>阿爾卡拉大學 
University of Alcala</t>
  </si>
  <si>
    <t>加泰隆尼亞理工大學
The Universitat Politècnica
de Catalunya</t>
  </si>
  <si>
    <t>慕尼黑工業大學
Technical University of Munich (TUM)</t>
  </si>
  <si>
    <t>曼漢姆大學
University of Mannheim</t>
  </si>
  <si>
    <t>斯圖加特大學
University of Stuttgart</t>
  </si>
  <si>
    <t>柏林工業大學
Technische Universität Berlin (TUB)</t>
  </si>
  <si>
    <t>羅特林根大學
Reutlingen University</t>
  </si>
  <si>
    <t>奧格斯堡大學
University of Augsburg</t>
  </si>
  <si>
    <t>阿亨工業大學
RWTH Aachen University</t>
  </si>
  <si>
    <t>電子
Electronics Engineering</t>
  </si>
  <si>
    <t>萊布尼茲漢諾威大學
Leibniz University Hannover</t>
  </si>
  <si>
    <t>馬克思普朗克研究院 
Max Planck Institute</t>
  </si>
  <si>
    <t>海德堡應用技術大學
SRH University Heidelberg</t>
  </si>
  <si>
    <t>達姆施塔特應用技術大學
Darmstadt University of Applied Sciences</t>
  </si>
  <si>
    <t>愛爾朗根-紐倫堡大學
Friedrich-Alexander-Universität Erlangen-Nürnberg (FAU)</t>
  </si>
  <si>
    <t>萊布尼茲光學技術研究所
Leibniz Institute of Photonic Technology (Leibniz-IPHT)</t>
  </si>
  <si>
    <t>沙爾大學
Saarland University</t>
  </si>
  <si>
    <t>海德堡大學
Ruprecht-Karls-University of Heidelberg</t>
  </si>
  <si>
    <t>生醫工程
 Biomedical Engineering</t>
  </si>
  <si>
    <t>馬德堡大學
Otto-von-Guericke-University of Magdeburg</t>
  </si>
  <si>
    <t>弗勞恩霍夫光子微系統研究所
Fraunhofer Institute for Photonic Microsystems (IPMS)</t>
  </si>
  <si>
    <t>德勒斯登工業大學
Technical University of Dresden</t>
  </si>
  <si>
    <t>科隆媒體藝術學院 
Academy of Media Arts Cologne</t>
  </si>
  <si>
    <t>愛琴大學
University of the Aegean</t>
  </si>
  <si>
    <t>都柏林城市大學
Dublin City University</t>
  </si>
  <si>
    <t>索菲亞理工大學
Technical University of Sofia</t>
  </si>
  <si>
    <t>聖彼得堡國立技術大學
Peter the Great St. Petersburg Polytechnic University (SPbPU)</t>
  </si>
  <si>
    <t>NYCU
原: 聖彼得堡理工大學
Former: Saint Petersburg State Polytechnical University</t>
  </si>
  <si>
    <t>莫斯科國立大學
Lomonosov Moscow State University (MSU)</t>
  </si>
  <si>
    <t>梁贊無線電大學
Ryazan State Radio Engineering University (RSREU)</t>
  </si>
  <si>
    <t>莫斯科科技大學
Federal State Budget Educational Institution of Higher Education "MIREA – Russian Technological University" (RTU MIREA)</t>
  </si>
  <si>
    <t>MS: 電機、理、半導體
Electrical and Computer Engineering/ Science/ Semiconductor
PhD: 電機、半導體
Electrical and Computer Engineering/ Semiconductor</t>
  </si>
  <si>
    <t>Former: Moscow Technological University (MIREA)</t>
  </si>
  <si>
    <t>聖彼得堡國立資訊科技機械與光學大學
ITMO University</t>
  </si>
  <si>
    <t>俄羅斯醫學科學院高斯新抗生素研究所
Gause Institute of New Antibiotics, Russian Academy of Medical Sciences (GINA, RAMS)</t>
  </si>
  <si>
    <t>柯克大學
KOC University</t>
  </si>
  <si>
    <t>薩班哲大學
Sabanci University</t>
  </si>
  <si>
    <t>電子工程
Electronics Engineering</t>
  </si>
  <si>
    <t>NYCU-ICST</t>
  </si>
  <si>
    <t>畢爾肯大學
Bilkent University</t>
  </si>
  <si>
    <t>中東科技大學
Middle East Technical University</t>
  </si>
  <si>
    <t>以色列理工學院 
Technion-Israel Institute of Technology</t>
  </si>
  <si>
    <t>阿里埃勒大學
Ariel University</t>
  </si>
  <si>
    <t>原: 艾瑞爾撒馬利亞中心大學
Former: Ariel University Center of Samaria</t>
  </si>
  <si>
    <t>上海交通大學
Shanghai Jiao Tong University</t>
  </si>
  <si>
    <t>北京交通大學
Beijing Jiaotong University</t>
  </si>
  <si>
    <t>清華大學
Tsinghua University</t>
  </si>
  <si>
    <t>廈門大學
Xiamen University</t>
  </si>
  <si>
    <t>北京大學
Peking University</t>
  </si>
  <si>
    <t>南開大學
Nankai University</t>
  </si>
  <si>
    <t>西安交通大學
Xi'an Jiaotong University</t>
  </si>
  <si>
    <t>電子科技大學
University of Electronic Science and Technology of China</t>
  </si>
  <si>
    <t>蘭州大學
Lanzhou University</t>
  </si>
  <si>
    <t>四川大學
Sichuan University</t>
  </si>
  <si>
    <t>南京大學
Nanjing University</t>
  </si>
  <si>
    <t>BS, MS, PhD</t>
  </si>
  <si>
    <t>福州大學
Fuzhou University</t>
  </si>
  <si>
    <t>內蒙古大學
Inner Mongolia University</t>
  </si>
  <si>
    <t>西南交通大學
Southwest Jiaotong University</t>
  </si>
  <si>
    <t>大連理工大學
Dalian University of Technology</t>
  </si>
  <si>
    <t>東南大學
SouthEast University</t>
  </si>
  <si>
    <t>華中科技大學
Huazhong University of Science &amp; Technology</t>
  </si>
  <si>
    <t>同濟大學
Tongji University</t>
  </si>
  <si>
    <t>復旦大學
Fudan University</t>
  </si>
  <si>
    <t>中國科學技術大學
University of Science and Technology of China</t>
  </si>
  <si>
    <t>北京郵電大學
Beijing University of Posts and Telecommunications</t>
  </si>
  <si>
    <t>上海大學
Shanghai University</t>
  </si>
  <si>
    <t>華東師範大學
East China Normal University</t>
  </si>
  <si>
    <t>華南理工大學
South China University of Technology</t>
  </si>
  <si>
    <t>重慶大學
Chongqing University</t>
  </si>
  <si>
    <t>長安大學
Chang'an University</t>
  </si>
  <si>
    <t>V (自費)</t>
  </si>
  <si>
    <t>華中師範大學
Central China Normal University</t>
  </si>
  <si>
    <t>中國美術學院
China Academy of Art</t>
  </si>
  <si>
    <t>福建醫科大學
Fujian Medical University</t>
  </si>
  <si>
    <t>首都醫科大學
Capital Medical University</t>
  </si>
  <si>
    <t>貴州大學
Guizhou University</t>
  </si>
  <si>
    <t>貴州醫科大學
Guizhou Medical University</t>
  </si>
  <si>
    <t>山東第一醫科大學(原: 泰山醫學院)
Shandong First Medical University (Former: Taishan Medical University)</t>
  </si>
  <si>
    <t>徐州醫科大學
Xuzhou Medical University</t>
  </si>
  <si>
    <t>大阪大學
Osaka University</t>
  </si>
  <si>
    <t>碩士-電機、工、資訊
Dual Master- Electrical and Computer Engineering, Engineering, Computer Science</t>
  </si>
  <si>
    <t>千葉大學
Chiba University</t>
  </si>
  <si>
    <t>理
Science</t>
  </si>
  <si>
    <t>日本工業大學
Nippon Institute of Technology</t>
  </si>
  <si>
    <t>東京大學
The University of Tokyo</t>
  </si>
  <si>
    <t>東京科學大學
Institute of Science Tokyo (IST)</t>
  </si>
  <si>
    <t>臨床實習
Clinical Clerkship
博士生共同指導
Joint Supervision (PhD)</t>
  </si>
  <si>
    <t>東京工科大學
Tokyo University of Technology</t>
  </si>
  <si>
    <t>School of Medicine</t>
  </si>
  <si>
    <t>早稻田大學
Waseda University</t>
  </si>
  <si>
    <t>東北大學
Tohoku University</t>
  </si>
  <si>
    <t>電機、工、理、半導體
Electrical and Computer Engineering/ Engineering/ Science/ Semiconductor</t>
  </si>
  <si>
    <t>豐橋技術科學大學
Toyohashi University of Technology</t>
  </si>
  <si>
    <t>國立研究開發法人物質材料研究機構
National Institute for Material Science (NIMS)</t>
  </si>
  <si>
    <t>公立函館未來大學
Future University Hakodate</t>
  </si>
  <si>
    <t>電氣通信大學
University of Electro-Communications (UEC)</t>
  </si>
  <si>
    <t>立命館大學
Ritsumeikan University</t>
  </si>
  <si>
    <t>立命館亞洲太平洋大學
Ritsumeikan Asia Pacific University</t>
  </si>
  <si>
    <t>奈良先端科學技術大學院大學
Nara Institute of Science and Technology (NAIST)</t>
  </si>
  <si>
    <t>電機 &amp; 理 &amp; 工
Electrical and Computer Engineering; Science; Engineering</t>
  </si>
  <si>
    <t>筑波大學
University of Tsukuba</t>
  </si>
  <si>
    <t>北海道大學
Hokkaido University</t>
  </si>
  <si>
    <t>理
Science</t>
  </si>
  <si>
    <t>Establishment of Joint Research and Education Center</t>
  </si>
  <si>
    <t>理化學研究所
RIKEN</t>
  </si>
  <si>
    <t>International Joint Graduate Program</t>
  </si>
  <si>
    <t>東京理科大學
Tokyo University of Science</t>
  </si>
  <si>
    <t>工業工程
Industrial Engineering</t>
  </si>
  <si>
    <t>埼玉大學
Saitama University</t>
  </si>
  <si>
    <t>東京農工大學
Tokyo University of Agriculture and Technology</t>
  </si>
  <si>
    <t>名古屋大學
Nagoya University</t>
  </si>
  <si>
    <t>愛媛大學
Ehime University</t>
  </si>
  <si>
    <t>明治大學
Meiji University</t>
  </si>
  <si>
    <t>近畿大學
Kindai University</t>
  </si>
  <si>
    <t>京都工藝纖維大學
Kyoto Institute of Technology</t>
  </si>
  <si>
    <t>慶應義塾大學
Keio University</t>
  </si>
  <si>
    <t>廣島大學
Hiroshima University</t>
  </si>
  <si>
    <t>大阪公立大學
Osaka Metropolitan University</t>
  </si>
  <si>
    <t>關西學院大學
Kwansei Gakuin University</t>
  </si>
  <si>
    <t>Summer Program Balance</t>
  </si>
  <si>
    <t>京都大學
Kyoto University</t>
  </si>
  <si>
    <t>NYCU-管院</t>
  </si>
  <si>
    <t>群馬大學
Gunma University</t>
  </si>
  <si>
    <t>自然科學研究機構
National Institutes of Natural Sciences (NINS)</t>
  </si>
  <si>
    <t>金澤大學
Kanazawa University</t>
  </si>
  <si>
    <t>九州大學
Kyushu University</t>
  </si>
  <si>
    <t>北陸先端科學技術大學院大學
Japan Advanced Institute of Science and Technology (JAIST)</t>
  </si>
  <si>
    <t>新潟大學
Niigata University</t>
  </si>
  <si>
    <t>長崎大學
Nagasaki University</t>
  </si>
  <si>
    <t>東京齒科大學
Tokyo Dental College</t>
  </si>
  <si>
    <t>新潟醫療福祉大學
Niigata University of Health and Welfare</t>
  </si>
  <si>
    <t>九州工業大學
Kyushu Institute of Technology</t>
  </si>
  <si>
    <t>Staff Exchange</t>
  </si>
  <si>
    <t>橫濱藥科大學
Yokohama University of Pharmacy</t>
  </si>
  <si>
    <t>山梨大學
University of Yamanashi</t>
  </si>
  <si>
    <t>大阪工業大學
Osaka Institute of Technology</t>
  </si>
  <si>
    <t>綜合研究大學院大學
Graduate University for Advanced Studies, SOKENDAI</t>
  </si>
  <si>
    <t>高知工科大學
Kochi University of Technology</t>
  </si>
  <si>
    <t>熊本大學
Kumamoto University</t>
  </si>
  <si>
    <t>日本半導體製造裝置協會
Semiconductor Equipment Association of Japan</t>
  </si>
  <si>
    <t>國立研究開發法人醫藥健康暨營養研究所
National Institutes of Biomedical Innovation, Health, and Nutrition (NIBN)</t>
  </si>
  <si>
    <t>三重大學
Mie University</t>
  </si>
  <si>
    <t>關西大學
Kansai University</t>
  </si>
  <si>
    <t>學生短研
Student Short-term Research Program</t>
  </si>
  <si>
    <t>宮崎大學
Miyazaki University</t>
  </si>
  <si>
    <t>島根大學
Shimane University</t>
  </si>
  <si>
    <t>山形縣立保健科學大學
Yamagata Prefectural University of Health Sciences</t>
  </si>
  <si>
    <t>泗水理工大學
Institut Teknologi Sepuluh Nopember (ITS)</t>
  </si>
  <si>
    <t>萬隆理工學院
Institut Teknologi Bandung (ITB)</t>
  </si>
  <si>
    <t>印尼大學
Universitas Indonesia</t>
  </si>
  <si>
    <t>艾爾朗加大學
Universitas Airlangga</t>
  </si>
  <si>
    <t>泗水技術學院
Sekolah Tinggi Teknik Surabaya (STTS)</t>
  </si>
  <si>
    <t>印尼穆斯林大學
Universitas Muslim Indonesia</t>
  </si>
  <si>
    <t>蘇吉甲普拉那塔天主教大學
Soegijapranata Catholic University</t>
  </si>
  <si>
    <t>布勞爪哇大學
University of Brawijaya</t>
  </si>
  <si>
    <t>電機
 Electrical Engineering</t>
  </si>
  <si>
    <t>印度理工學院 馬德拉斯分校
Indian Institute of Technology (IIT), Madras</t>
  </si>
  <si>
    <t>印度理工學院 卡拉普爾分校
Indian Institute Of Technology (IIT), Kharagpur</t>
  </si>
  <si>
    <t>印度理工學院 坎普爾分校
Indian Institute of Technology (IIT), Kanpur</t>
  </si>
  <si>
    <t>半導體
Semiconductor Technology</t>
  </si>
  <si>
    <t>印度理工學院 孟買分校
Indian Institute of Technology (IIT), Bombay</t>
  </si>
  <si>
    <t>Vel Tech理工學院
Vel Tech Rangarajan Dr.Sagunthala R&amp;D Institute of Institute of Science and Technology</t>
  </si>
  <si>
    <t>印度理工學院 德里分校
Indian Institute Of Technology (IIT), Delhi</t>
  </si>
  <si>
    <t>印度科學理工學院
Indian Institute of Science (IISc), Bangalore</t>
  </si>
  <si>
    <t>馬尼帕爾高等教育學院
Manipal Academy of Higher Education</t>
  </si>
  <si>
    <t>金德爾全球大學
 O.P. Jindal Global University</t>
  </si>
  <si>
    <t>印度理工學院 羅克分校
Indian Institute of Technology (IIT), Roorkee</t>
  </si>
  <si>
    <t>印度理工學院 印多爾分校
Indian Institute Of Technology (IIT), Indore</t>
  </si>
  <si>
    <t>印度理工學院 海德拉巴分校
Indian Institute Of Technology (IIT), Hyderabad</t>
  </si>
  <si>
    <t>印度理工學院 甘地納加爾分校
Indian Institute Of Technology (IIT), Gandhinagar</t>
  </si>
  <si>
    <t>賈甘納巴魯阿大學
Jagannath Barooah University</t>
  </si>
  <si>
    <t>印度管理學院 菩提伽耶分校
Indian Institute of Management Bodh Gaya</t>
  </si>
  <si>
    <t>香港大學
The University of Hong Kong</t>
  </si>
  <si>
    <t>香港科技大學
Hong Kong University of Science and Technology</t>
  </si>
  <si>
    <t>香港城市大學
City University of Hong Kong</t>
  </si>
  <si>
    <t>NYCU-校級SEA、傳科系SEA</t>
  </si>
  <si>
    <t>香港浸會大學
Hong Kong Baptist University</t>
  </si>
  <si>
    <t>香港中文大學
The Chinese University of Hong Kong (CUHK)</t>
  </si>
  <si>
    <t>香港理工大學
Hong Kong Polytechnic University</t>
  </si>
  <si>
    <t>嶺南大學
Lingnan University</t>
  </si>
  <si>
    <t>國王科技大學
King Mongkut's University of Technology Thonburi</t>
  </si>
  <si>
    <t>泰國農業大學
Kasetsart University</t>
  </si>
  <si>
    <t>朱拉隆功大學
Chulalongkorn University</t>
  </si>
  <si>
    <t>清邁大學
Chiang Mai University</t>
  </si>
  <si>
    <t>法政大學
Thammasat University</t>
  </si>
  <si>
    <t>國立奈米科技中心
National Nanotechnology Center (NANOTEC)</t>
  </si>
  <si>
    <t>瑪希敦大學
Mahidol University</t>
  </si>
  <si>
    <t>NYCU-醫學院</t>
  </si>
  <si>
    <t>瓦萊嵐大學
Walailak University</t>
  </si>
  <si>
    <t>湄州大學
Maejo University</t>
  </si>
  <si>
    <t>拉曼大學
Universiti Tunku Abdul Rahman</t>
  </si>
  <si>
    <t>ALL
電機、資訊、藥理
Electrical and Computer Engineering &amp; Computer Science, Pharmacology</t>
  </si>
  <si>
    <t>馬來西亞理科大學
Universiti Sains Malaysia</t>
  </si>
  <si>
    <t>馬來亞大學
Universiti Malaya</t>
  </si>
  <si>
    <t>馬來西亞理工大學
Technological University of Malaysia</t>
  </si>
  <si>
    <t>多媒體大學
Multimedia University</t>
  </si>
  <si>
    <t>馬來西亞國立大學
Universiti Kebangsaan Malaysia (UKM)</t>
  </si>
  <si>
    <t>奈米電子
Microengineering and Nanoelectronics</t>
  </si>
  <si>
    <t>瑪拉工藝大學
MARA University of Technology (UiTM)</t>
  </si>
  <si>
    <t>河內自然科學大學
VNU University of Science</t>
  </si>
  <si>
    <t>MSc Degree</t>
  </si>
  <si>
    <t>胡志明市自然科學大學
University of Science, Vietnam National University Ho Chi Minh City</t>
  </si>
  <si>
    <t>河內國家大學
Vietnam National University, Hanoi</t>
  </si>
  <si>
    <t>河內理工大學
Hanoi University of Science and Technology (HUST)</t>
  </si>
  <si>
    <t>河內國立師範大學
Hanoi National University of Education (HNUE)</t>
  </si>
  <si>
    <t xml:space="preserve"> 電子物理
Electrophysics</t>
  </si>
  <si>
    <t>河內藥學大學
Hanoi University of Pharmacy</t>
  </si>
  <si>
    <t>太原大學所屬農林大學
Thai Nguyen University of Argriculture and Forestry(TUAF)</t>
  </si>
  <si>
    <t>順化大學
Hue University</t>
  </si>
  <si>
    <t>理 
Science</t>
  </si>
  <si>
    <t>芹苴大學
Can Tho University</t>
  </si>
  <si>
    <t>胡志明市醫藥大學
University of Medicine and Pharmacy at Ho Chi Minh City</t>
  </si>
  <si>
    <t>河內科技大學
University of Science and Technology of Hanoi (USTH)</t>
  </si>
  <si>
    <t>孫德勝大學
Ton Duc Thang University</t>
  </si>
  <si>
    <t>生命科學
Life Science</t>
  </si>
  <si>
    <t>暑期課程
Summer Program</t>
  </si>
  <si>
    <t>大水鑊醫院
Cho Ray Hospital</t>
  </si>
  <si>
    <t>河內公共衛生大學
Hanoi University of Public Health</t>
  </si>
  <si>
    <t>國立藥用材料研究機構
National Institute of Medical Materials</t>
  </si>
  <si>
    <t>芹萓醫藥大學
Can Tho University of Medicine and Pharmacy</t>
  </si>
  <si>
    <t>太原師範大學
Thai Nguyen University of Education</t>
  </si>
  <si>
    <t>物理、應數
Physics, Mathematics</t>
  </si>
  <si>
    <t>鳳凰大學
Phenikaa University</t>
  </si>
  <si>
    <t>太原大學
Thai Nguyen University</t>
  </si>
  <si>
    <t>順化師範大學
Hue University of Education</t>
  </si>
  <si>
    <t>峴港科技大學
Da Nang University of Science and Technology</t>
  </si>
  <si>
    <t>越南國家創新中心
Vietnam National Innovation Center</t>
  </si>
  <si>
    <t>越南胡志明市國立大學國際大學
International University-Vietnam National University Ho Chi Minh City</t>
  </si>
  <si>
    <t>河內土木工程大學
Hanoi University of Civil Engineering</t>
  </si>
  <si>
    <t>河內水利大學
Thuyloi University</t>
  </si>
  <si>
    <t>越南傅爾布萊特大學
Fulbright University Vietnam</t>
  </si>
  <si>
    <t xml:space="preserve">胡志明市健康科學大學
University of Health Science, Vietnam National University Ho Chi Minh City	</t>
  </si>
  <si>
    <t>Vin大學
Vin University</t>
  </si>
  <si>
    <t>南洋理工大學
Nanyang Technological University (NTU)</t>
  </si>
  <si>
    <t>NYCU-SEA</t>
  </si>
  <si>
    <t>新加坡國立大學
National University of Singapore (NUS)</t>
  </si>
  <si>
    <t>新加坡管理大學
Singapore Management University (SMU)</t>
  </si>
  <si>
    <t>新加坡科技與設計大學
Singapore University of Technology and Design (SUTD)</t>
  </si>
  <si>
    <t>漢陽大學
Hanyang University</t>
  </si>
  <si>
    <t>首爾國立大學
Seoul National University (SNU)</t>
  </si>
  <si>
    <t>成均館大學
Sungkyungkwan University</t>
  </si>
  <si>
    <t>梨花女子大學
Ewha Womans University</t>
  </si>
  <si>
    <t>忠南國立大學
Chungnam National University</t>
  </si>
  <si>
    <t>浦項工科大學
Pohang University Science and Technology (POSTECH)</t>
  </si>
  <si>
    <t>高麗大學
Korea University</t>
  </si>
  <si>
    <t>全南國立大學
Chonnam National University</t>
  </si>
  <si>
    <t>延世大學
Yonsei University</t>
  </si>
  <si>
    <t>韓國高等理工學院
Korea Advanced Institute of Science and Technology (KAIST)</t>
  </si>
  <si>
    <t>紐約州立大學 韓國分校
State University of New York (SUNY), Korea</t>
  </si>
  <si>
    <t>管理/資訊/機械
Management/ Computer Science/ Mechanical Engineering</t>
  </si>
  <si>
    <t>建國大學
Kokkuk University</t>
  </si>
  <si>
    <t>中央大學
Chung-Ang University</t>
  </si>
  <si>
    <t>西江大學
Sogang University</t>
  </si>
  <si>
    <t>大邱慶北科學技術院
Daegu Gyeongbuk Institute of Science and Technology (DGIST)</t>
  </si>
  <si>
    <t>昌原大學
Changwon National University</t>
  </si>
  <si>
    <t>釜山大學
Pusan National University</t>
  </si>
  <si>
    <t>慶熙大學
Kyung Hee University</t>
  </si>
  <si>
    <t>韓國外國語大學
Hankuk University of Foreign Studies</t>
  </si>
  <si>
    <t>釜慶大學
Pukyong National University</t>
  </si>
  <si>
    <t>嘉泉大學
Gachon University</t>
  </si>
  <si>
    <t>汶萊大學
Universiti Brunei Darussalam (UBD)</t>
  </si>
  <si>
    <t>馬尼拉中央大學
Manila Central University</t>
  </si>
  <si>
    <t>法蒂瑪夫人大學
Our Lady of Fatima University</t>
  </si>
  <si>
    <t>菲律賓大學 馬尼拉分校
University of the Philippines Manila</t>
  </si>
  <si>
    <t>聖多默大學 
University of Santo Tomas</t>
  </si>
  <si>
    <t>奇里隆理工學院
Kirirom Institute of Technology</t>
  </si>
  <si>
    <t>外蒙古國立醫科大學
Mongolian National University of Medical Sciences</t>
  </si>
  <si>
    <t>亞美尼亞國立工程大學
National Polytechnic University of Armenia (NPUA)</t>
  </si>
  <si>
    <t>亞美尼亞國立農業大學
Armenian National Agrarian University (ANAU)</t>
  </si>
  <si>
    <t>謝里夫理工大學
Sharif University of Technology</t>
  </si>
  <si>
    <t>Electrical Engineering and Computer Science &amp; Electrical Engineering</t>
  </si>
  <si>
    <t>NYCU-EECS</t>
  </si>
  <si>
    <t>德黑蘭大學
University of Tehran</t>
  </si>
  <si>
    <t>哈薩克國立科技大學
Satbayev University
(NJSC "Kazakh National Technical Research University named after K.I.Satpayev")</t>
  </si>
  <si>
    <t>金山大學
University of the Witwatersrand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</si>
</sst>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2.0"/>
      <color rgb="FF000000"/>
      <name val="PMingLiu"/>
    </font>
    <font>
      <b/>
      <sz val="10.0"/>
      <color rgb="FF000000"/>
      <name val="Calibri"/>
    </font>
    <font>
      <b/>
      <name val="Calibri"/>
    </font>
    <font>
      <b/>
      <color rgb="FFFFFFFF"/>
      <name val="Calibri"/>
    </font>
    <font>
      <sz val="10.0"/>
      <name val="Calibri"/>
    </font>
    <font>
      <name val="Calibri"/>
    </font>
    <font>
      <sz val="12.0"/>
      <name val="Calibri"/>
    </font>
    <font>
      <sz val="10.0"/>
      <color rgb="FF000000"/>
      <name val="Calibri"/>
    </font>
    <font>
      <sz val="12.0"/>
      <color rgb="FF000000"/>
      <name val="Calibri"/>
    </font>
    <font>
      <sz val="10.0"/>
      <color rgb="FF1155CC"/>
      <name val="Calibri"/>
    </font>
    <font>
      <sz val="10.0"/>
      <color rgb="FF000000"/>
      <name val="微軟正黑體"/>
    </font>
    <font>
      <sz val="11.0"/>
      <color rgb="FF000000"/>
      <name val="Calibri"/>
    </font>
    <font>
      <b/>
      <sz val="10.0"/>
      <color rgb="FF1155CC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FCE5CD"/>
        <bgColor rgb="FFFCE5CD"/>
      </patternFill>
    </fill>
    <fill>
      <patternFill patternType="solid">
        <fgColor rgb="FFEB7A77"/>
        <bgColor rgb="FFEB7A77"/>
      </patternFill>
    </fill>
    <fill>
      <patternFill patternType="solid">
        <fgColor rgb="FFDEEAF6"/>
        <bgColor rgb="FFDEEAF6"/>
      </patternFill>
    </fill>
    <fill>
      <patternFill patternType="solid">
        <fgColor rgb="FFFB9966"/>
        <bgColor rgb="FFFB9966"/>
      </patternFill>
    </fill>
    <fill>
      <patternFill patternType="solid">
        <fgColor rgb="FFE2EFD9"/>
        <bgColor rgb="FFE2EFD9"/>
      </patternFill>
    </fill>
    <fill>
      <patternFill patternType="solid">
        <fgColor rgb="FFFFB11B"/>
        <bgColor rgb="FFFFB11B"/>
      </patternFill>
    </fill>
    <fill>
      <patternFill patternType="solid">
        <fgColor rgb="FF90B44B"/>
        <bgColor rgb="FF90B44B"/>
      </patternFill>
    </fill>
    <fill>
      <patternFill patternType="solid">
        <fgColor rgb="FF33A6B8"/>
        <bgColor rgb="FF33A6B8"/>
      </patternFill>
    </fill>
    <fill>
      <patternFill patternType="solid">
        <fgColor rgb="FF8F77B5"/>
        <bgColor rgb="FF8F77B5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/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0" fillId="4" fontId="3" numFmtId="0" xfId="0" applyAlignment="1" applyFill="1" applyFont="1">
      <alignment horizontal="center" readingOrder="0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0" fillId="6" fontId="3" numFmtId="0" xfId="0" applyAlignment="1" applyFill="1" applyFont="1">
      <alignment horizontal="center" readingOrder="0" shrinkToFit="0" vertical="center" wrapText="1"/>
    </xf>
    <xf borderId="0" fillId="8" fontId="3" numFmtId="0" xfId="0" applyAlignment="1" applyFill="1" applyFont="1">
      <alignment horizontal="center" readingOrder="0" shrinkToFit="0" vertical="center" wrapText="1"/>
    </xf>
    <xf borderId="1" fillId="7" fontId="1" numFmtId="0" xfId="0" applyAlignment="1" applyBorder="1" applyFill="1" applyFont="1">
      <alignment horizontal="center" shrinkToFit="0" vertical="center" wrapText="1"/>
    </xf>
    <xf borderId="0" fillId="9" fontId="3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vertical="center"/>
    </xf>
    <xf borderId="0" fillId="10" fontId="3" numFmtId="0" xfId="0" applyAlignment="1" applyFill="1" applyFont="1">
      <alignment horizontal="center" readingOrder="0" shrinkToFit="0" vertical="center" wrapText="1"/>
    </xf>
    <xf borderId="0" fillId="11" fontId="3" numFmtId="0" xfId="0" applyAlignment="1" applyFill="1" applyFont="1">
      <alignment horizontal="center"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readingOrder="0" vertical="center"/>
    </xf>
    <xf borderId="0" fillId="0" fontId="6" numFmtId="0" xfId="0" applyAlignment="1" applyFont="1">
      <alignment readingOrder="0" vertical="center"/>
    </xf>
    <xf borderId="0" fillId="0" fontId="5" numFmtId="0" xfId="0" applyAlignment="1" applyFont="1">
      <alignment vertical="center"/>
    </xf>
    <xf borderId="1" fillId="0" fontId="7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vertical="center"/>
    </xf>
    <xf borderId="1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horizontal="center" vertical="center"/>
    </xf>
    <xf borderId="0" fillId="12" fontId="8" numFmtId="0" xfId="0" applyAlignment="1" applyFill="1" applyFont="1">
      <alignment horizontal="left" readingOrder="0" shrinkToFit="0" vertical="center" wrapText="1"/>
    </xf>
    <xf borderId="0" fillId="0" fontId="4" numFmtId="0" xfId="0" applyAlignment="1" applyFont="1">
      <alignment readingOrder="0" vertical="center"/>
    </xf>
    <xf borderId="0" fillId="0" fontId="9" numFmtId="0" xfId="0" applyAlignment="1" applyFont="1">
      <alignment vertical="center"/>
    </xf>
    <xf borderId="0" fillId="12" fontId="8" numFmtId="0" xfId="0" applyAlignment="1" applyFill="1" applyFont="1">
      <alignment horizontal="left" readingOrder="0" vertical="center"/>
    </xf>
    <xf borderId="1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vertical="center"/>
    </xf>
    <xf borderId="1" fillId="0" fontId="7" numFmtId="46" xfId="0" applyAlignment="1" applyBorder="1" applyFont="1" applyNumberFormat="1">
      <alignment readingOrder="0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2" fillId="0" fontId="11" numFmtId="0" xfId="0" applyAlignment="1" applyBorder="1" applyFont="1">
      <alignment horizontal="center" shrinkToFit="0" vertical="center" wrapText="0"/>
    </xf>
    <xf borderId="2" fillId="0" fontId="11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center" readingOrder="0" shrinkToFit="0" vertical="center" wrapText="0"/>
    </xf>
    <xf borderId="2" fillId="0" fontId="7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vertical="center"/>
    </xf>
    <xf borderId="2" fillId="0" fontId="7" numFmtId="0" xfId="0" applyAlignment="1" applyBorder="1" applyFont="1">
      <alignment vertical="center"/>
    </xf>
    <xf borderId="2" fillId="0" fontId="7" numFmtId="0" xfId="0" applyAlignment="1" applyBorder="1" applyFont="1">
      <alignment horizontal="center" readingOrder="0" shrinkToFit="0" vertical="center" wrapText="1"/>
    </xf>
    <xf borderId="3" fillId="0" fontId="7" numFmtId="0" xfId="0" applyAlignment="1" applyBorder="1" applyFont="1">
      <alignment readingOrder="0" vertical="center"/>
    </xf>
    <xf borderId="3" fillId="0" fontId="7" numFmtId="0" xfId="0" applyAlignment="1" applyBorder="1" applyFont="1">
      <alignment readingOrder="0" shrinkToFit="0" vertical="center" wrapText="1"/>
    </xf>
    <xf borderId="2" fillId="0" fontId="7" numFmtId="0" xfId="0" applyAlignment="1" applyBorder="1" applyFont="1">
      <alignment horizontal="center" readingOrder="0" vertical="center"/>
    </xf>
    <xf borderId="0" fillId="0" fontId="12" numFmtId="0" xfId="0" applyAlignment="1" applyFont="1">
      <alignment vertical="center"/>
    </xf>
    <xf borderId="1" fillId="0" fontId="7" numFmtId="0" xfId="0" applyAlignment="1" applyBorder="1" applyFont="1">
      <alignment horizontal="left" readingOrder="0" shrinkToFit="0" vertical="center" wrapText="1"/>
    </xf>
    <xf borderId="0" fillId="0" fontId="6" numFmtId="0" xfId="0" applyAlignment="1" applyFont="1">
      <alignment vertical="center"/>
    </xf>
    <xf borderId="0" fillId="0" fontId="7" numFmtId="0" xfId="0" applyAlignment="1" applyFont="1">
      <alignment vertical="center"/>
    </xf>
    <xf borderId="4" fillId="0" fontId="7" numFmtId="0" xfId="0" applyAlignment="1" applyBorder="1" applyFont="1">
      <alignment vertical="center"/>
    </xf>
    <xf borderId="1" fillId="0" fontId="7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0"/>
    </xf>
    <xf borderId="1" fillId="0" fontId="11" numFmtId="0" xfId="0" applyAlignment="1" applyBorder="1" applyFont="1">
      <alignment horizontal="center" readingOrder="0" shrinkToFit="0" vertical="center" wrapText="0"/>
    </xf>
    <xf borderId="1" fillId="12" fontId="7" numFmtId="0" xfId="0" applyAlignment="1" applyBorder="1" applyFill="1" applyFont="1">
      <alignment readingOrder="0" shrinkToFit="0" vertical="center" wrapText="1"/>
    </xf>
    <xf borderId="1" fillId="0" fontId="7" numFmtId="0" xfId="0" applyAlignment="1" applyBorder="1" applyFont="1">
      <alignment horizontal="left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EF2CB"/>
          <bgColor rgb="FFFEF2CB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2.0"/>
    <col customWidth="1" min="2" max="2" width="11.11"/>
    <col customWidth="1" min="3" max="3" width="27.22"/>
    <col customWidth="1" min="4" max="4" width="15.56"/>
    <col customWidth="1" min="5" max="5" width="12.11"/>
    <col customWidth="1" min="6" max="6" width="12.56"/>
    <col customWidth="1" min="7" max="7" width="32.44"/>
    <col customWidth="1" min="8" max="8" width="15.67"/>
    <col customWidth="1" min="9" max="9" width="15.33"/>
    <col customWidth="1" min="10" max="10" width="16.0"/>
    <col customWidth="1" min="11" max="19" width="6.78"/>
    <col customWidth="1" min="20" max="27" width="13.44"/>
  </cols>
  <sheetData>
    <row r="1" ht="39.75" customHeight="1">
      <c r="A1" s="1" t="s">
        <v>0</v>
      </c>
      <c r="B1" s="1" t="s">
        <v>2</v>
      </c>
      <c r="C1" s="3" t="s">
        <v>3</v>
      </c>
      <c r="D1" s="5" t="s">
        <v>5</v>
      </c>
      <c r="E1" s="5" t="s">
        <v>7</v>
      </c>
      <c r="F1" s="8" t="s">
        <v>8</v>
      </c>
      <c r="G1" s="8" t="s">
        <v>10</v>
      </c>
      <c r="H1" s="1" t="s">
        <v>12</v>
      </c>
      <c r="I1" s="3" t="s">
        <v>13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ht="39.75" customHeight="1">
      <c r="A2" s="17" t="s">
        <v>15</v>
      </c>
      <c r="B2" s="18" t="s">
        <v>25</v>
      </c>
      <c r="C2" s="18" t="s">
        <v>26</v>
      </c>
      <c r="D2" s="19" t="s">
        <v>27</v>
      </c>
      <c r="E2" s="20"/>
      <c r="F2" s="21"/>
      <c r="G2" s="22"/>
      <c r="H2" s="23"/>
      <c r="I2" s="23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ht="39.75" customHeight="1">
      <c r="A3" s="24" t="s">
        <v>15</v>
      </c>
      <c r="B3" s="18" t="s">
        <v>25</v>
      </c>
      <c r="C3" s="17" t="s">
        <v>28</v>
      </c>
      <c r="D3" s="19" t="s">
        <v>27</v>
      </c>
      <c r="E3" s="23"/>
      <c r="F3" s="20" t="s">
        <v>29</v>
      </c>
      <c r="G3" s="20" t="s">
        <v>30</v>
      </c>
      <c r="H3" s="23"/>
      <c r="I3" s="20" t="s">
        <v>31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ht="42.75" customHeight="1">
      <c r="A4" s="24" t="s">
        <v>15</v>
      </c>
      <c r="B4" s="18" t="s">
        <v>25</v>
      </c>
      <c r="C4" s="18" t="s">
        <v>32</v>
      </c>
      <c r="D4" s="19" t="s">
        <v>27</v>
      </c>
      <c r="E4" s="20"/>
      <c r="F4" s="21"/>
      <c r="G4" s="22"/>
      <c r="H4" s="23"/>
      <c r="I4" s="23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ht="39.75" customHeight="1">
      <c r="A5" s="17" t="s">
        <v>15</v>
      </c>
      <c r="B5" s="17" t="s">
        <v>25</v>
      </c>
      <c r="C5" s="17" t="s">
        <v>33</v>
      </c>
      <c r="D5" s="19" t="s">
        <v>27</v>
      </c>
      <c r="E5" s="23"/>
      <c r="F5" s="21"/>
      <c r="G5" s="22"/>
      <c r="H5" s="23"/>
      <c r="I5" s="23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ht="39.75" customHeight="1">
      <c r="A6" s="17" t="s">
        <v>15</v>
      </c>
      <c r="B6" s="17" t="s">
        <v>25</v>
      </c>
      <c r="C6" s="17" t="s">
        <v>34</v>
      </c>
      <c r="D6" s="20" t="s">
        <v>27</v>
      </c>
      <c r="E6" s="23"/>
      <c r="F6" s="21"/>
      <c r="G6" s="22"/>
      <c r="H6" s="23"/>
      <c r="I6" s="23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ht="39.75" customHeight="1">
      <c r="A7" s="17" t="s">
        <v>15</v>
      </c>
      <c r="B7" s="17" t="s">
        <v>25</v>
      </c>
      <c r="C7" s="17" t="s">
        <v>35</v>
      </c>
      <c r="D7" s="19" t="s">
        <v>27</v>
      </c>
      <c r="E7" s="23"/>
      <c r="F7" s="21"/>
      <c r="G7" s="22"/>
      <c r="H7" s="23"/>
      <c r="I7" s="20" t="s">
        <v>31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ht="39.75" customHeight="1">
      <c r="A8" s="17" t="s">
        <v>15</v>
      </c>
      <c r="B8" s="17" t="s">
        <v>25</v>
      </c>
      <c r="C8" s="17" t="s">
        <v>36</v>
      </c>
      <c r="D8" s="19"/>
      <c r="E8" s="23"/>
      <c r="F8" s="19" t="s">
        <v>37</v>
      </c>
      <c r="G8" s="19" t="s">
        <v>38</v>
      </c>
      <c r="H8" s="23"/>
      <c r="I8" s="20" t="s">
        <v>31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ht="39.75" customHeight="1">
      <c r="A9" s="17" t="s">
        <v>15</v>
      </c>
      <c r="B9" s="17" t="s">
        <v>25</v>
      </c>
      <c r="C9" s="17" t="s">
        <v>49</v>
      </c>
      <c r="D9" s="20" t="s">
        <v>27</v>
      </c>
      <c r="E9" s="23"/>
      <c r="F9" s="19"/>
      <c r="G9" s="19"/>
      <c r="H9" s="23"/>
      <c r="I9" s="20" t="s">
        <v>31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ht="39.75" customHeight="1">
      <c r="A10" s="17" t="s">
        <v>15</v>
      </c>
      <c r="B10" s="17" t="s">
        <v>58</v>
      </c>
      <c r="C10" s="17" t="s">
        <v>60</v>
      </c>
      <c r="D10" s="23"/>
      <c r="E10" s="20" t="s">
        <v>27</v>
      </c>
      <c r="F10" s="21"/>
      <c r="G10" s="22"/>
      <c r="H10" s="23"/>
      <c r="I10" s="20" t="s">
        <v>31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ht="39.75" customHeight="1">
      <c r="A11" s="24" t="s">
        <v>15</v>
      </c>
      <c r="B11" s="18" t="s">
        <v>65</v>
      </c>
      <c r="C11" s="17" t="s">
        <v>66</v>
      </c>
      <c r="D11" s="23" t="s">
        <v>27</v>
      </c>
      <c r="E11" s="23" t="s">
        <v>27</v>
      </c>
      <c r="F11" s="21"/>
      <c r="G11" s="22"/>
      <c r="H11" s="23"/>
      <c r="I11" s="23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ht="39.75" customHeight="1">
      <c r="A12" s="24" t="s">
        <v>6</v>
      </c>
      <c r="B12" s="24" t="s">
        <v>59</v>
      </c>
      <c r="C12" s="24" t="s">
        <v>74</v>
      </c>
      <c r="D12" s="25"/>
      <c r="E12" s="23" t="s">
        <v>27</v>
      </c>
      <c r="F12" s="21"/>
      <c r="G12" s="22"/>
      <c r="H12" s="23"/>
      <c r="I12" s="23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ht="39.75" customHeight="1">
      <c r="A13" s="24" t="s">
        <v>6</v>
      </c>
      <c r="B13" s="17" t="s">
        <v>83</v>
      </c>
      <c r="C13" s="17" t="s">
        <v>85</v>
      </c>
      <c r="D13" s="23" t="s">
        <v>27</v>
      </c>
      <c r="E13" s="23" t="s">
        <v>27</v>
      </c>
      <c r="F13" s="21"/>
      <c r="G13" s="22"/>
      <c r="H13" s="23"/>
      <c r="I13" s="20" t="s">
        <v>31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ht="65.25" customHeight="1">
      <c r="A14" s="24" t="s">
        <v>4</v>
      </c>
      <c r="B14" s="18" t="s">
        <v>76</v>
      </c>
      <c r="C14" s="17" t="s">
        <v>90</v>
      </c>
      <c r="D14" s="21" t="s">
        <v>27</v>
      </c>
      <c r="E14" s="23" t="s">
        <v>27</v>
      </c>
      <c r="F14" s="21"/>
      <c r="G14" s="22"/>
      <c r="H14" s="23"/>
      <c r="I14" s="20" t="s">
        <v>91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ht="41.25" customHeight="1">
      <c r="A15" s="24" t="s">
        <v>4</v>
      </c>
      <c r="B15" s="18" t="s">
        <v>76</v>
      </c>
      <c r="C15" s="18" t="s">
        <v>94</v>
      </c>
      <c r="D15" s="19" t="s">
        <v>27</v>
      </c>
      <c r="E15" s="23"/>
      <c r="F15" s="23"/>
      <c r="G15" s="23"/>
      <c r="H15" s="23"/>
      <c r="I15" s="20" t="s">
        <v>31</v>
      </c>
      <c r="J15" s="27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ht="39.75" customHeight="1">
      <c r="A16" s="24" t="s">
        <v>4</v>
      </c>
      <c r="B16" s="18" t="s">
        <v>76</v>
      </c>
      <c r="C16" s="18" t="s">
        <v>100</v>
      </c>
      <c r="D16" s="21" t="s">
        <v>27</v>
      </c>
      <c r="E16" s="23" t="s">
        <v>27</v>
      </c>
      <c r="F16" s="21"/>
      <c r="G16" s="22"/>
      <c r="H16" s="23"/>
      <c r="I16" s="23"/>
      <c r="J16" s="27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ht="39.75" customHeight="1">
      <c r="A17" s="24" t="s">
        <v>4</v>
      </c>
      <c r="B17" s="18" t="s">
        <v>76</v>
      </c>
      <c r="C17" s="24" t="s">
        <v>105</v>
      </c>
      <c r="D17" s="23" t="s">
        <v>27</v>
      </c>
      <c r="E17" s="23" t="s">
        <v>27</v>
      </c>
      <c r="F17" s="21"/>
      <c r="G17" s="22"/>
      <c r="H17" s="23"/>
      <c r="I17" s="23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ht="39.75" customHeight="1">
      <c r="A18" s="24" t="s">
        <v>4</v>
      </c>
      <c r="B18" s="18" t="s">
        <v>76</v>
      </c>
      <c r="C18" s="24" t="s">
        <v>106</v>
      </c>
      <c r="D18" s="23" t="s">
        <v>107</v>
      </c>
      <c r="E18" s="23"/>
      <c r="F18" s="21"/>
      <c r="G18" s="22"/>
      <c r="H18" s="20"/>
      <c r="I18" s="20" t="s">
        <v>31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ht="39.75" customHeight="1">
      <c r="A19" s="17" t="s">
        <v>4</v>
      </c>
      <c r="B19" s="17" t="s">
        <v>76</v>
      </c>
      <c r="C19" s="17" t="s">
        <v>108</v>
      </c>
      <c r="D19" s="23" t="s">
        <v>27</v>
      </c>
      <c r="E19" s="23" t="s">
        <v>27</v>
      </c>
      <c r="F19" s="21"/>
      <c r="G19" s="22"/>
      <c r="H19" s="20"/>
      <c r="I19" s="20" t="s">
        <v>31</v>
      </c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ht="39.75" customHeight="1">
      <c r="A20" s="17" t="s">
        <v>4</v>
      </c>
      <c r="B20" s="17" t="s">
        <v>76</v>
      </c>
      <c r="C20" s="17" t="s">
        <v>110</v>
      </c>
      <c r="D20" s="20" t="s">
        <v>27</v>
      </c>
      <c r="E20" s="23"/>
      <c r="F20" s="21"/>
      <c r="G20" s="22"/>
      <c r="H20" s="20"/>
      <c r="I20" s="20" t="s">
        <v>31</v>
      </c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ht="39.75" customHeight="1">
      <c r="A21" s="17" t="s">
        <v>4</v>
      </c>
      <c r="B21" s="17" t="s">
        <v>76</v>
      </c>
      <c r="C21" s="17" t="s">
        <v>120</v>
      </c>
      <c r="D21" s="20" t="s">
        <v>27</v>
      </c>
      <c r="E21" s="23" t="s">
        <v>27</v>
      </c>
      <c r="F21" s="21"/>
      <c r="G21" s="22"/>
      <c r="H21" s="20"/>
      <c r="I21" s="20" t="s">
        <v>31</v>
      </c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ht="39.75" customHeight="1">
      <c r="A22" s="17" t="s">
        <v>6</v>
      </c>
      <c r="B22" s="17" t="s">
        <v>140</v>
      </c>
      <c r="C22" s="17" t="s">
        <v>141</v>
      </c>
      <c r="D22" s="19" t="s">
        <v>27</v>
      </c>
      <c r="E22" s="20" t="s">
        <v>27</v>
      </c>
      <c r="F22" s="23"/>
      <c r="G22" s="23"/>
      <c r="H22" s="20"/>
      <c r="I22" s="2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ht="39.75" customHeight="1">
      <c r="A23" s="17" t="s">
        <v>6</v>
      </c>
      <c r="B23" s="17" t="s">
        <v>146</v>
      </c>
      <c r="C23" s="17" t="s">
        <v>147</v>
      </c>
      <c r="D23" s="19" t="s">
        <v>27</v>
      </c>
      <c r="E23" s="20" t="s">
        <v>27</v>
      </c>
      <c r="F23" s="23"/>
      <c r="G23" s="23"/>
      <c r="H23" s="20"/>
      <c r="I23" s="20" t="s">
        <v>31</v>
      </c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ht="39.75" customHeight="1">
      <c r="A24" s="17" t="s">
        <v>6</v>
      </c>
      <c r="B24" s="17" t="s">
        <v>153</v>
      </c>
      <c r="C24" s="17" t="s">
        <v>155</v>
      </c>
      <c r="D24" s="19" t="s">
        <v>27</v>
      </c>
      <c r="E24" s="20"/>
      <c r="F24" s="23"/>
      <c r="G24" s="23"/>
      <c r="H24" s="20"/>
      <c r="I24" s="20" t="s">
        <v>31</v>
      </c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ht="39.75" customHeight="1">
      <c r="A25" s="24" t="s">
        <v>4</v>
      </c>
      <c r="B25" s="18" t="s">
        <v>79</v>
      </c>
      <c r="C25" s="18" t="s">
        <v>162</v>
      </c>
      <c r="D25" s="21" t="s">
        <v>27</v>
      </c>
      <c r="E25" s="23"/>
      <c r="F25" s="23" t="s">
        <v>163</v>
      </c>
      <c r="G25" s="23" t="s">
        <v>164</v>
      </c>
      <c r="H25" s="23"/>
      <c r="I25" s="23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ht="39.75" customHeight="1">
      <c r="A26" s="24" t="s">
        <v>4</v>
      </c>
      <c r="B26" s="18" t="s">
        <v>79</v>
      </c>
      <c r="C26" s="18" t="s">
        <v>168</v>
      </c>
      <c r="D26" s="23" t="s">
        <v>27</v>
      </c>
      <c r="E26" s="23" t="s">
        <v>27</v>
      </c>
      <c r="F26" s="21"/>
      <c r="G26" s="22"/>
      <c r="H26" s="20"/>
      <c r="I26" s="20" t="s">
        <v>31</v>
      </c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ht="39.75" customHeight="1">
      <c r="A27" s="24" t="s">
        <v>4</v>
      </c>
      <c r="B27" s="18" t="s">
        <v>79</v>
      </c>
      <c r="C27" s="18" t="s">
        <v>174</v>
      </c>
      <c r="D27" s="23" t="s">
        <v>27</v>
      </c>
      <c r="E27" s="23"/>
      <c r="F27" s="21"/>
      <c r="G27" s="22"/>
      <c r="H27" s="23"/>
      <c r="I27" s="23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ht="39.75" customHeight="1">
      <c r="A28" s="24" t="s">
        <v>4</v>
      </c>
      <c r="B28" s="18" t="s">
        <v>79</v>
      </c>
      <c r="C28" s="17" t="s">
        <v>176</v>
      </c>
      <c r="D28" s="23" t="s">
        <v>27</v>
      </c>
      <c r="E28" s="20"/>
      <c r="F28" s="21"/>
      <c r="G28" s="22"/>
      <c r="H28" s="23"/>
      <c r="I28" s="20" t="s">
        <v>31</v>
      </c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ht="39.75" customHeight="1">
      <c r="A29" s="17" t="s">
        <v>4</v>
      </c>
      <c r="B29" s="17" t="s">
        <v>79</v>
      </c>
      <c r="C29" s="17" t="s">
        <v>180</v>
      </c>
      <c r="D29" s="20" t="s">
        <v>27</v>
      </c>
      <c r="E29" s="20"/>
      <c r="F29" s="21"/>
      <c r="G29" s="22"/>
      <c r="H29" s="23"/>
      <c r="I29" s="20" t="s">
        <v>31</v>
      </c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ht="39.75" customHeight="1">
      <c r="A30" s="24" t="s">
        <v>4</v>
      </c>
      <c r="B30" s="18" t="s">
        <v>79</v>
      </c>
      <c r="C30" s="18" t="s">
        <v>185</v>
      </c>
      <c r="D30" s="23" t="s">
        <v>27</v>
      </c>
      <c r="E30" s="20" t="s">
        <v>27</v>
      </c>
      <c r="F30" s="21"/>
      <c r="G30" s="22"/>
      <c r="H30" s="23"/>
      <c r="I30" s="23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ht="39.75" customHeight="1">
      <c r="A31" s="17" t="s">
        <v>4</v>
      </c>
      <c r="B31" s="17" t="s">
        <v>79</v>
      </c>
      <c r="C31" s="17" t="s">
        <v>189</v>
      </c>
      <c r="D31" s="23"/>
      <c r="E31" s="20"/>
      <c r="F31" s="23" t="s">
        <v>191</v>
      </c>
      <c r="G31" s="23" t="s">
        <v>193</v>
      </c>
      <c r="H31" s="23"/>
      <c r="I31" s="23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ht="39.75" customHeight="1">
      <c r="A32" s="24" t="s">
        <v>4</v>
      </c>
      <c r="B32" s="18" t="s">
        <v>79</v>
      </c>
      <c r="C32" s="18" t="s">
        <v>196</v>
      </c>
      <c r="D32" s="21"/>
      <c r="E32" s="20" t="s">
        <v>27</v>
      </c>
      <c r="F32" s="30"/>
      <c r="G32" s="31"/>
      <c r="H32" s="23"/>
      <c r="I32" s="23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ht="39.75" customHeight="1">
      <c r="A33" s="24" t="s">
        <v>4</v>
      </c>
      <c r="B33" s="18" t="s">
        <v>79</v>
      </c>
      <c r="C33" s="18" t="s">
        <v>212</v>
      </c>
      <c r="D33" s="21"/>
      <c r="E33" s="23"/>
      <c r="F33" s="20" t="s">
        <v>214</v>
      </c>
      <c r="G33" s="23" t="s">
        <v>215</v>
      </c>
      <c r="H33" s="23"/>
      <c r="I33" s="20" t="s">
        <v>31</v>
      </c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ht="39.75" customHeight="1">
      <c r="A34" s="24" t="s">
        <v>4</v>
      </c>
      <c r="B34" s="18" t="s">
        <v>79</v>
      </c>
      <c r="C34" s="18" t="s">
        <v>219</v>
      </c>
      <c r="D34" s="21"/>
      <c r="E34" s="23"/>
      <c r="F34" s="23" t="s">
        <v>191</v>
      </c>
      <c r="G34" s="23" t="s">
        <v>193</v>
      </c>
      <c r="H34" s="23"/>
      <c r="I34" s="23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ht="39.75" customHeight="1">
      <c r="A35" s="24" t="s">
        <v>4</v>
      </c>
      <c r="B35" s="18" t="s">
        <v>79</v>
      </c>
      <c r="C35" s="18" t="s">
        <v>224</v>
      </c>
      <c r="D35" s="23" t="s">
        <v>27</v>
      </c>
      <c r="E35" s="23"/>
      <c r="F35" s="23" t="s">
        <v>225</v>
      </c>
      <c r="G35" s="23" t="s">
        <v>227</v>
      </c>
      <c r="H35" s="23"/>
      <c r="I35" s="20" t="s">
        <v>31</v>
      </c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>
      <c r="A36" s="24" t="s">
        <v>4</v>
      </c>
      <c r="B36" s="18" t="s">
        <v>79</v>
      </c>
      <c r="C36" s="18" t="s">
        <v>235</v>
      </c>
      <c r="D36" s="20" t="s">
        <v>27</v>
      </c>
      <c r="E36" s="20" t="s">
        <v>27</v>
      </c>
      <c r="F36" s="20" t="s">
        <v>236</v>
      </c>
      <c r="G36" s="20" t="s">
        <v>237</v>
      </c>
      <c r="H36" s="20"/>
      <c r="I36" s="20" t="s">
        <v>31</v>
      </c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 ht="39.75" customHeight="1">
      <c r="A37" s="24" t="s">
        <v>4</v>
      </c>
      <c r="B37" s="18" t="s">
        <v>79</v>
      </c>
      <c r="C37" s="17" t="s">
        <v>243</v>
      </c>
      <c r="D37" s="21" t="s">
        <v>27</v>
      </c>
      <c r="E37" s="23"/>
      <c r="F37" s="19" t="s">
        <v>247</v>
      </c>
      <c r="G37" s="19" t="s">
        <v>248</v>
      </c>
      <c r="H37" s="30"/>
      <c r="I37" s="20" t="s">
        <v>249</v>
      </c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ht="39.75" customHeight="1">
      <c r="A38" s="17" t="s">
        <v>4</v>
      </c>
      <c r="B38" s="17" t="s">
        <v>79</v>
      </c>
      <c r="C38" s="17" t="s">
        <v>254</v>
      </c>
      <c r="D38" s="21"/>
      <c r="E38" s="23"/>
      <c r="F38" s="20" t="s">
        <v>29</v>
      </c>
      <c r="G38" s="20" t="s">
        <v>255</v>
      </c>
      <c r="H38" s="30"/>
      <c r="I38" s="3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ht="39.75" customHeight="1">
      <c r="A39" s="17" t="s">
        <v>4</v>
      </c>
      <c r="B39" s="17" t="s">
        <v>79</v>
      </c>
      <c r="C39" s="17" t="s">
        <v>260</v>
      </c>
      <c r="D39" s="19" t="s">
        <v>27</v>
      </c>
      <c r="E39" s="23"/>
      <c r="F39" s="21"/>
      <c r="G39" s="22"/>
      <c r="H39" s="23"/>
      <c r="I39" s="20" t="s">
        <v>31</v>
      </c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ht="39.75" customHeight="1">
      <c r="A40" s="17" t="s">
        <v>4</v>
      </c>
      <c r="B40" s="17" t="s">
        <v>79</v>
      </c>
      <c r="C40" s="17" t="s">
        <v>265</v>
      </c>
      <c r="D40" s="21"/>
      <c r="E40" s="21" t="s">
        <v>27</v>
      </c>
      <c r="F40" s="23"/>
      <c r="G40" s="23"/>
      <c r="H40" s="23"/>
      <c r="I40" s="20" t="s">
        <v>31</v>
      </c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ht="122.25" customHeight="1">
      <c r="A41" s="17" t="s">
        <v>4</v>
      </c>
      <c r="B41" s="17" t="s">
        <v>79</v>
      </c>
      <c r="C41" s="17" t="s">
        <v>270</v>
      </c>
      <c r="D41" s="20" t="s">
        <v>27</v>
      </c>
      <c r="E41" s="20" t="s">
        <v>27</v>
      </c>
      <c r="F41" s="20" t="s">
        <v>274</v>
      </c>
      <c r="G41" s="20" t="s">
        <v>276</v>
      </c>
      <c r="H41" s="23"/>
      <c r="I41" s="20" t="s">
        <v>31</v>
      </c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ht="39.75" customHeight="1">
      <c r="A42" s="17" t="s">
        <v>4</v>
      </c>
      <c r="B42" s="17" t="s">
        <v>79</v>
      </c>
      <c r="C42" s="17" t="s">
        <v>281</v>
      </c>
      <c r="D42" s="20" t="s">
        <v>27</v>
      </c>
      <c r="E42" s="23"/>
      <c r="F42" s="23"/>
      <c r="G42" s="23"/>
      <c r="H42" s="23"/>
      <c r="I42" s="23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ht="37.5" customHeight="1">
      <c r="A43" s="24" t="s">
        <v>4</v>
      </c>
      <c r="B43" s="18" t="s">
        <v>79</v>
      </c>
      <c r="C43" s="17" t="s">
        <v>286</v>
      </c>
      <c r="D43" s="20" t="s">
        <v>27</v>
      </c>
      <c r="E43" s="23"/>
      <c r="F43" s="21"/>
      <c r="G43" s="22"/>
      <c r="H43" s="23"/>
      <c r="I43" s="20" t="s">
        <v>31</v>
      </c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>
      <c r="A44" s="24" t="s">
        <v>4</v>
      </c>
      <c r="B44" s="18" t="s">
        <v>79</v>
      </c>
      <c r="C44" s="18" t="s">
        <v>292</v>
      </c>
      <c r="D44" s="21" t="s">
        <v>27</v>
      </c>
      <c r="E44" s="23"/>
      <c r="F44" s="20" t="s">
        <v>296</v>
      </c>
      <c r="G44" s="19" t="s">
        <v>297</v>
      </c>
      <c r="H44" s="20" t="s">
        <v>298</v>
      </c>
      <c r="I44" s="20" t="s">
        <v>31</v>
      </c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ht="39.75" customHeight="1">
      <c r="A45" s="24" t="s">
        <v>4</v>
      </c>
      <c r="B45" s="18" t="s">
        <v>79</v>
      </c>
      <c r="C45" s="18" t="s">
        <v>303</v>
      </c>
      <c r="D45" s="21" t="s">
        <v>27</v>
      </c>
      <c r="E45" s="23"/>
      <c r="F45" s="19" t="s">
        <v>37</v>
      </c>
      <c r="G45" s="23" t="s">
        <v>215</v>
      </c>
      <c r="H45" s="23"/>
      <c r="I45" s="23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>
      <c r="A46" s="24" t="s">
        <v>4</v>
      </c>
      <c r="B46" s="18" t="s">
        <v>79</v>
      </c>
      <c r="C46" s="18" t="s">
        <v>309</v>
      </c>
      <c r="D46" s="21" t="s">
        <v>27</v>
      </c>
      <c r="E46" s="23" t="s">
        <v>27</v>
      </c>
      <c r="F46" s="20" t="s">
        <v>313</v>
      </c>
      <c r="G46" s="20" t="s">
        <v>314</v>
      </c>
      <c r="H46" s="20"/>
      <c r="I46" s="20" t="s">
        <v>31</v>
      </c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 ht="39.75" customHeight="1">
      <c r="A47" s="24" t="s">
        <v>4</v>
      </c>
      <c r="B47" s="18" t="s">
        <v>79</v>
      </c>
      <c r="C47" s="18" t="s">
        <v>319</v>
      </c>
      <c r="D47" s="21" t="s">
        <v>27</v>
      </c>
      <c r="E47" s="23"/>
      <c r="F47" s="21"/>
      <c r="G47" s="22"/>
      <c r="H47" s="23"/>
      <c r="I47" s="23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ht="39.75" customHeight="1">
      <c r="A48" s="24" t="s">
        <v>4</v>
      </c>
      <c r="B48" s="18" t="s">
        <v>79</v>
      </c>
      <c r="C48" s="17" t="s">
        <v>324</v>
      </c>
      <c r="D48" s="23" t="s">
        <v>27</v>
      </c>
      <c r="E48" s="23"/>
      <c r="F48" s="19" t="s">
        <v>247</v>
      </c>
      <c r="G48" s="19" t="s">
        <v>248</v>
      </c>
      <c r="H48" s="23"/>
      <c r="I48" s="23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ht="71.25" customHeight="1">
      <c r="A49" s="24" t="s">
        <v>4</v>
      </c>
      <c r="B49" s="18" t="s">
        <v>79</v>
      </c>
      <c r="C49" s="17" t="s">
        <v>329</v>
      </c>
      <c r="D49" s="21"/>
      <c r="E49" s="23"/>
      <c r="F49" s="19" t="s">
        <v>330</v>
      </c>
      <c r="G49" s="20" t="s">
        <v>331</v>
      </c>
      <c r="H49" s="23"/>
      <c r="I49" s="20" t="s">
        <v>31</v>
      </c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ht="39.75" customHeight="1">
      <c r="A50" s="24" t="s">
        <v>4</v>
      </c>
      <c r="B50" s="18" t="s">
        <v>79</v>
      </c>
      <c r="C50" s="24" t="s">
        <v>336</v>
      </c>
      <c r="D50" s="21" t="s">
        <v>27</v>
      </c>
      <c r="E50" s="23" t="s">
        <v>27</v>
      </c>
      <c r="F50" s="21"/>
      <c r="G50" s="22"/>
      <c r="H50" s="23"/>
      <c r="I50" s="20" t="s">
        <v>31</v>
      </c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ht="39.75" customHeight="1">
      <c r="A51" s="17" t="s">
        <v>4</v>
      </c>
      <c r="B51" s="17" t="s">
        <v>79</v>
      </c>
      <c r="C51" s="17" t="s">
        <v>342</v>
      </c>
      <c r="D51" s="19" t="s">
        <v>27</v>
      </c>
      <c r="E51" s="23"/>
      <c r="F51" s="21"/>
      <c r="G51" s="22"/>
      <c r="H51" s="23"/>
      <c r="I51" s="20" t="s">
        <v>31</v>
      </c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ht="39.75" customHeight="1">
      <c r="A52" s="17" t="s">
        <v>4</v>
      </c>
      <c r="B52" s="17" t="s">
        <v>79</v>
      </c>
      <c r="C52" s="17" t="s">
        <v>350</v>
      </c>
      <c r="D52" s="19" t="s">
        <v>27</v>
      </c>
      <c r="E52" s="23"/>
      <c r="F52" s="21"/>
      <c r="G52" s="22"/>
      <c r="H52" s="23"/>
      <c r="I52" s="23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ht="39.75" customHeight="1">
      <c r="A53" s="17" t="s">
        <v>4</v>
      </c>
      <c r="B53" s="17" t="s">
        <v>79</v>
      </c>
      <c r="C53" s="32" t="s">
        <v>355</v>
      </c>
      <c r="D53" s="20" t="s">
        <v>27</v>
      </c>
      <c r="E53" s="20" t="s">
        <v>27</v>
      </c>
      <c r="F53" s="21"/>
      <c r="G53" s="22"/>
      <c r="H53" s="23"/>
      <c r="I53" s="20" t="s">
        <v>31</v>
      </c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ht="39.75" customHeight="1">
      <c r="A54" s="17" t="s">
        <v>4</v>
      </c>
      <c r="B54" s="17" t="s">
        <v>79</v>
      </c>
      <c r="C54" s="17" t="s">
        <v>368</v>
      </c>
      <c r="D54" s="21"/>
      <c r="E54" s="23"/>
      <c r="F54" s="21"/>
      <c r="G54" s="22"/>
      <c r="H54" s="20" t="s">
        <v>372</v>
      </c>
      <c r="I54" s="23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ht="39.75" customHeight="1">
      <c r="A55" s="17" t="s">
        <v>4</v>
      </c>
      <c r="B55" s="17" t="s">
        <v>79</v>
      </c>
      <c r="C55" s="17" t="s">
        <v>376</v>
      </c>
      <c r="D55" s="19" t="s">
        <v>27</v>
      </c>
      <c r="E55" s="23"/>
      <c r="F55" s="21"/>
      <c r="G55" s="22"/>
      <c r="H55" s="23"/>
      <c r="I55" s="23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ht="39.75" customHeight="1">
      <c r="A56" s="17" t="s">
        <v>4</v>
      </c>
      <c r="B56" s="17" t="s">
        <v>79</v>
      </c>
      <c r="C56" s="17" t="s">
        <v>380</v>
      </c>
      <c r="D56" s="19" t="s">
        <v>27</v>
      </c>
      <c r="E56" s="19" t="s">
        <v>27</v>
      </c>
      <c r="F56" s="19" t="s">
        <v>37</v>
      </c>
      <c r="G56" s="23" t="s">
        <v>215</v>
      </c>
      <c r="H56" s="23"/>
      <c r="I56" s="20" t="s">
        <v>31</v>
      </c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ht="39.75" customHeight="1">
      <c r="A57" s="17" t="s">
        <v>4</v>
      </c>
      <c r="B57" s="17" t="s">
        <v>79</v>
      </c>
      <c r="C57" s="17" t="s">
        <v>388</v>
      </c>
      <c r="D57" s="19" t="s">
        <v>27</v>
      </c>
      <c r="E57" s="23"/>
      <c r="F57" s="21"/>
      <c r="G57" s="22"/>
      <c r="H57" s="23"/>
      <c r="I57" s="20" t="s">
        <v>31</v>
      </c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ht="39.75" customHeight="1">
      <c r="A58" s="17" t="s">
        <v>4</v>
      </c>
      <c r="B58" s="17" t="s">
        <v>79</v>
      </c>
      <c r="C58" s="17" t="s">
        <v>393</v>
      </c>
      <c r="D58" s="20" t="s">
        <v>394</v>
      </c>
      <c r="E58" s="23"/>
      <c r="F58" s="21"/>
      <c r="G58" s="22"/>
      <c r="H58" s="23"/>
      <c r="I58" s="20" t="s">
        <v>31</v>
      </c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ht="39.75" customHeight="1">
      <c r="A59" s="17" t="s">
        <v>4</v>
      </c>
      <c r="B59" s="17" t="s">
        <v>79</v>
      </c>
      <c r="C59" s="17" t="s">
        <v>399</v>
      </c>
      <c r="D59" s="20" t="s">
        <v>27</v>
      </c>
      <c r="E59" s="23"/>
      <c r="F59" s="21"/>
      <c r="G59" s="22"/>
      <c r="H59" s="23"/>
      <c r="I59" s="20" t="s">
        <v>31</v>
      </c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ht="39.75" customHeight="1">
      <c r="A60" s="17" t="s">
        <v>4</v>
      </c>
      <c r="B60" s="17" t="s">
        <v>79</v>
      </c>
      <c r="C60" s="17" t="s">
        <v>408</v>
      </c>
      <c r="D60" s="19" t="s">
        <v>27</v>
      </c>
      <c r="E60" s="23"/>
      <c r="F60" s="19" t="s">
        <v>37</v>
      </c>
      <c r="G60" s="23" t="s">
        <v>215</v>
      </c>
      <c r="H60" s="23"/>
      <c r="I60" s="20" t="s">
        <v>31</v>
      </c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ht="39.75" customHeight="1">
      <c r="A61" s="17" t="s">
        <v>4</v>
      </c>
      <c r="B61" s="17" t="s">
        <v>79</v>
      </c>
      <c r="C61" s="17" t="s">
        <v>413</v>
      </c>
      <c r="D61" s="33" t="s">
        <v>415</v>
      </c>
      <c r="E61" s="34"/>
      <c r="F61" s="34"/>
      <c r="G61" s="35"/>
      <c r="H61" s="35"/>
      <c r="I61" s="36" t="s">
        <v>31</v>
      </c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ht="39.75" customHeight="1">
      <c r="A62" s="17" t="s">
        <v>4</v>
      </c>
      <c r="B62" s="17" t="s">
        <v>79</v>
      </c>
      <c r="C62" s="17" t="s">
        <v>427</v>
      </c>
      <c r="D62" s="20" t="s">
        <v>27</v>
      </c>
      <c r="E62" s="34"/>
      <c r="F62" s="34"/>
      <c r="G62" s="35"/>
      <c r="H62" s="35"/>
      <c r="I62" s="36" t="s">
        <v>31</v>
      </c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ht="41.25" customHeight="1">
      <c r="A63" s="17" t="s">
        <v>4</v>
      </c>
      <c r="B63" s="17" t="s">
        <v>79</v>
      </c>
      <c r="C63" s="17" t="s">
        <v>436</v>
      </c>
      <c r="D63" s="20" t="s">
        <v>27</v>
      </c>
      <c r="E63" s="37"/>
      <c r="F63" s="38"/>
      <c r="G63" s="39"/>
      <c r="H63" s="37"/>
      <c r="I63" s="4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ht="41.25" customHeight="1">
      <c r="A64" s="17" t="s">
        <v>4</v>
      </c>
      <c r="B64" s="17" t="s">
        <v>79</v>
      </c>
      <c r="C64" s="17" t="s">
        <v>445</v>
      </c>
      <c r="D64" s="33" t="s">
        <v>415</v>
      </c>
      <c r="E64" s="37"/>
      <c r="F64" s="38"/>
      <c r="G64" s="39"/>
      <c r="H64" s="37"/>
      <c r="I64" s="36" t="s">
        <v>31</v>
      </c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ht="41.25" customHeight="1">
      <c r="A65" s="17" t="s">
        <v>4</v>
      </c>
      <c r="B65" s="17" t="s">
        <v>79</v>
      </c>
      <c r="C65" s="41" t="s">
        <v>459</v>
      </c>
      <c r="D65" s="33" t="s">
        <v>415</v>
      </c>
      <c r="E65" s="37"/>
      <c r="F65" s="38"/>
      <c r="G65" s="39"/>
      <c r="H65" s="37"/>
      <c r="I65" s="36" t="s">
        <v>31</v>
      </c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ht="41.25" customHeight="1">
      <c r="A66" s="17" t="s">
        <v>4</v>
      </c>
      <c r="B66" s="17" t="s">
        <v>79</v>
      </c>
      <c r="C66" s="42" t="s">
        <v>467</v>
      </c>
      <c r="D66" s="19"/>
      <c r="E66" s="37"/>
      <c r="F66" s="43" t="s">
        <v>472</v>
      </c>
      <c r="G66" s="43" t="s">
        <v>473</v>
      </c>
      <c r="H66" s="37"/>
      <c r="I66" s="36" t="s">
        <v>31</v>
      </c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ht="41.25" customHeight="1">
      <c r="A67" s="17" t="s">
        <v>4</v>
      </c>
      <c r="B67" s="17" t="s">
        <v>79</v>
      </c>
      <c r="C67" s="42" t="s">
        <v>478</v>
      </c>
      <c r="D67" s="19" t="s">
        <v>27</v>
      </c>
      <c r="E67" s="37"/>
      <c r="F67" s="38"/>
      <c r="G67" s="39"/>
      <c r="H67" s="37"/>
      <c r="I67" s="36" t="s">
        <v>31</v>
      </c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ht="41.25" customHeight="1">
      <c r="A68" s="17" t="s">
        <v>4</v>
      </c>
      <c r="B68" s="17" t="s">
        <v>79</v>
      </c>
      <c r="C68" s="42" t="s">
        <v>487</v>
      </c>
      <c r="D68" s="20" t="s">
        <v>27</v>
      </c>
      <c r="E68" s="37"/>
      <c r="F68" s="38"/>
      <c r="G68" s="39"/>
      <c r="H68" s="37"/>
      <c r="I68" s="36" t="s">
        <v>31</v>
      </c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ht="41.25" customHeight="1">
      <c r="A69" s="17" t="s">
        <v>4</v>
      </c>
      <c r="B69" s="17" t="s">
        <v>79</v>
      </c>
      <c r="C69" s="42" t="s">
        <v>494</v>
      </c>
      <c r="D69" s="20" t="s">
        <v>27</v>
      </c>
      <c r="E69" s="37"/>
      <c r="F69" s="38"/>
      <c r="G69" s="39"/>
      <c r="H69" s="20" t="s">
        <v>498</v>
      </c>
      <c r="I69" s="36" t="s">
        <v>31</v>
      </c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ht="39.75" customHeight="1">
      <c r="A70" s="17" t="s">
        <v>4</v>
      </c>
      <c r="B70" s="17" t="s">
        <v>79</v>
      </c>
      <c r="C70" s="42" t="s">
        <v>505</v>
      </c>
      <c r="D70" s="19"/>
      <c r="E70" s="37"/>
      <c r="F70" s="43" t="s">
        <v>507</v>
      </c>
      <c r="G70" s="43" t="s">
        <v>508</v>
      </c>
      <c r="H70" s="23"/>
      <c r="I70" s="36" t="s">
        <v>31</v>
      </c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ht="39.75" customHeight="1">
      <c r="A71" s="17" t="s">
        <v>4</v>
      </c>
      <c r="B71" s="17" t="s">
        <v>79</v>
      </c>
      <c r="C71" s="42" t="s">
        <v>513</v>
      </c>
      <c r="D71" s="19" t="s">
        <v>27</v>
      </c>
      <c r="E71" s="37"/>
      <c r="F71" s="43"/>
      <c r="G71" s="43"/>
      <c r="H71" s="23"/>
      <c r="I71" s="36" t="s">
        <v>31</v>
      </c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ht="39.75" customHeight="1">
      <c r="A72" s="17" t="s">
        <v>4</v>
      </c>
      <c r="B72" s="17" t="s">
        <v>79</v>
      </c>
      <c r="C72" s="42" t="s">
        <v>522</v>
      </c>
      <c r="D72" s="19"/>
      <c r="E72" s="19" t="s">
        <v>27</v>
      </c>
      <c r="F72" s="38"/>
      <c r="G72" s="39"/>
      <c r="H72" s="23"/>
      <c r="I72" s="36" t="s">
        <v>31</v>
      </c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ht="39.75" customHeight="1">
      <c r="A73" s="17" t="s">
        <v>4</v>
      </c>
      <c r="B73" s="17" t="s">
        <v>79</v>
      </c>
      <c r="C73" s="42" t="s">
        <v>527</v>
      </c>
      <c r="D73" s="19" t="s">
        <v>27</v>
      </c>
      <c r="E73" s="19"/>
      <c r="F73" s="38"/>
      <c r="G73" s="39"/>
      <c r="H73" s="23"/>
      <c r="I73" s="36" t="s">
        <v>31</v>
      </c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ht="39.75" customHeight="1">
      <c r="A74" s="17" t="s">
        <v>4</v>
      </c>
      <c r="B74" s="17" t="s">
        <v>79</v>
      </c>
      <c r="C74" s="42" t="s">
        <v>534</v>
      </c>
      <c r="D74" s="19" t="s">
        <v>27</v>
      </c>
      <c r="E74" s="23"/>
      <c r="F74" s="38"/>
      <c r="G74" s="39"/>
      <c r="H74" s="23"/>
      <c r="I74" s="36" t="s">
        <v>31</v>
      </c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ht="39.75" customHeight="1">
      <c r="A75" s="17" t="s">
        <v>4</v>
      </c>
      <c r="B75" s="17" t="s">
        <v>79</v>
      </c>
      <c r="C75" s="42" t="s">
        <v>541</v>
      </c>
      <c r="D75" s="19" t="s">
        <v>27</v>
      </c>
      <c r="E75" s="23"/>
      <c r="F75" s="38"/>
      <c r="G75" s="39"/>
      <c r="H75" s="23"/>
      <c r="I75" s="36" t="s">
        <v>31</v>
      </c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ht="39.75" customHeight="1">
      <c r="A76" s="17" t="s">
        <v>4</v>
      </c>
      <c r="B76" s="17" t="s">
        <v>79</v>
      </c>
      <c r="C76" s="42" t="s">
        <v>549</v>
      </c>
      <c r="D76" s="19" t="s">
        <v>27</v>
      </c>
      <c r="E76" s="23"/>
      <c r="F76" s="38"/>
      <c r="G76" s="39"/>
      <c r="H76" s="23"/>
      <c r="I76" s="36" t="s">
        <v>31</v>
      </c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ht="39.75" customHeight="1">
      <c r="A77" s="17" t="s">
        <v>4</v>
      </c>
      <c r="B77" s="17" t="s">
        <v>79</v>
      </c>
      <c r="C77" s="42" t="s">
        <v>554</v>
      </c>
      <c r="D77" s="19" t="s">
        <v>27</v>
      </c>
      <c r="E77" s="19" t="s">
        <v>27</v>
      </c>
      <c r="F77" s="38"/>
      <c r="G77" s="39"/>
      <c r="H77" s="23"/>
      <c r="I77" s="36" t="s">
        <v>31</v>
      </c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ht="39.75" customHeight="1">
      <c r="A78" s="24" t="s">
        <v>11</v>
      </c>
      <c r="B78" s="18" t="s">
        <v>259</v>
      </c>
      <c r="C78" s="18" t="s">
        <v>563</v>
      </c>
      <c r="D78" s="19" t="s">
        <v>27</v>
      </c>
      <c r="E78" s="23" t="s">
        <v>27</v>
      </c>
      <c r="F78" s="21"/>
      <c r="G78" s="22"/>
      <c r="H78" s="23"/>
      <c r="I78" s="20" t="s">
        <v>31</v>
      </c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ht="37.5" customHeight="1">
      <c r="A79" s="17" t="s">
        <v>11</v>
      </c>
      <c r="B79" s="17" t="s">
        <v>259</v>
      </c>
      <c r="C79" s="17" t="s">
        <v>568</v>
      </c>
      <c r="D79" s="19" t="s">
        <v>27</v>
      </c>
      <c r="E79" s="23" t="s">
        <v>27</v>
      </c>
      <c r="F79" s="21"/>
      <c r="G79" s="22"/>
      <c r="H79" s="23"/>
      <c r="I79" s="20" t="s">
        <v>31</v>
      </c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>
      <c r="A80" s="24" t="s">
        <v>11</v>
      </c>
      <c r="B80" s="18" t="s">
        <v>109</v>
      </c>
      <c r="C80" s="17" t="s">
        <v>576</v>
      </c>
      <c r="D80" s="21"/>
      <c r="E80" s="23"/>
      <c r="F80" s="23" t="s">
        <v>578</v>
      </c>
      <c r="G80" s="20" t="s">
        <v>579</v>
      </c>
      <c r="H80" s="23"/>
      <c r="I80" s="20" t="s">
        <v>31</v>
      </c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>
      <c r="A81" s="24" t="s">
        <v>11</v>
      </c>
      <c r="B81" s="18" t="s">
        <v>109</v>
      </c>
      <c r="C81" s="17" t="s">
        <v>584</v>
      </c>
      <c r="D81" s="23" t="s">
        <v>27</v>
      </c>
      <c r="E81" s="23" t="s">
        <v>27</v>
      </c>
      <c r="F81" s="23" t="s">
        <v>586</v>
      </c>
      <c r="G81" s="20" t="s">
        <v>588</v>
      </c>
      <c r="H81" s="20"/>
      <c r="I81" s="20" t="s">
        <v>31</v>
      </c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 ht="39.75" customHeight="1">
      <c r="A82" s="24" t="s">
        <v>11</v>
      </c>
      <c r="B82" s="18" t="s">
        <v>109</v>
      </c>
      <c r="C82" s="18" t="s">
        <v>591</v>
      </c>
      <c r="D82" s="20" t="s">
        <v>592</v>
      </c>
      <c r="E82" s="23" t="s">
        <v>27</v>
      </c>
      <c r="F82" s="21"/>
      <c r="G82" s="22"/>
      <c r="H82" s="23"/>
      <c r="I82" s="20" t="s">
        <v>31</v>
      </c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ht="39.75" customHeight="1">
      <c r="A83" s="24" t="s">
        <v>11</v>
      </c>
      <c r="B83" s="18" t="s">
        <v>109</v>
      </c>
      <c r="C83" s="18" t="s">
        <v>598</v>
      </c>
      <c r="D83" s="21" t="s">
        <v>27</v>
      </c>
      <c r="E83" s="23" t="s">
        <v>27</v>
      </c>
      <c r="F83" s="21"/>
      <c r="G83" s="22"/>
      <c r="H83" s="20"/>
      <c r="I83" s="20" t="s">
        <v>31</v>
      </c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 ht="39.75" customHeight="1">
      <c r="A84" s="24" t="s">
        <v>11</v>
      </c>
      <c r="B84" s="18" t="s">
        <v>109</v>
      </c>
      <c r="C84" s="17" t="s">
        <v>605</v>
      </c>
      <c r="D84" s="21"/>
      <c r="E84" s="23"/>
      <c r="F84" s="20" t="s">
        <v>29</v>
      </c>
      <c r="G84" s="20" t="s">
        <v>607</v>
      </c>
      <c r="H84" s="20"/>
      <c r="I84" s="20" t="s">
        <v>31</v>
      </c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 ht="39.75" customHeight="1">
      <c r="A85" s="24" t="s">
        <v>11</v>
      </c>
      <c r="B85" s="18" t="s">
        <v>517</v>
      </c>
      <c r="C85" s="18" t="s">
        <v>612</v>
      </c>
      <c r="D85" s="21" t="s">
        <v>27</v>
      </c>
      <c r="E85" s="23" t="s">
        <v>27</v>
      </c>
      <c r="F85" s="21"/>
      <c r="G85" s="22"/>
      <c r="H85" s="20"/>
      <c r="I85" s="20" t="s">
        <v>31</v>
      </c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ht="39.75" customHeight="1">
      <c r="A86" s="24" t="s">
        <v>11</v>
      </c>
      <c r="B86" s="18" t="s">
        <v>517</v>
      </c>
      <c r="C86" s="18" t="s">
        <v>617</v>
      </c>
      <c r="D86" s="21" t="s">
        <v>27</v>
      </c>
      <c r="E86" s="23" t="s">
        <v>27</v>
      </c>
      <c r="F86" s="21"/>
      <c r="G86" s="22"/>
      <c r="H86" s="23"/>
      <c r="I86" s="20" t="s">
        <v>31</v>
      </c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ht="39.75" customHeight="1">
      <c r="A87" s="24" t="s">
        <v>11</v>
      </c>
      <c r="B87" s="18" t="s">
        <v>403</v>
      </c>
      <c r="C87" s="17" t="s">
        <v>626</v>
      </c>
      <c r="D87" s="21" t="s">
        <v>27</v>
      </c>
      <c r="E87" s="23"/>
      <c r="F87" s="21"/>
      <c r="G87" s="22"/>
      <c r="H87" s="23"/>
      <c r="I87" s="23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ht="39.75" customHeight="1">
      <c r="A88" s="24" t="s">
        <v>11</v>
      </c>
      <c r="B88" s="18" t="s">
        <v>403</v>
      </c>
      <c r="C88" s="18" t="s">
        <v>631</v>
      </c>
      <c r="D88" s="23" t="s">
        <v>27</v>
      </c>
      <c r="E88" s="21" t="s">
        <v>27</v>
      </c>
      <c r="F88" s="21"/>
      <c r="G88" s="22"/>
      <c r="H88" s="23"/>
      <c r="I88" s="20" t="s">
        <v>31</v>
      </c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ht="39.75" customHeight="1">
      <c r="A89" s="24" t="s">
        <v>11</v>
      </c>
      <c r="B89" s="18" t="s">
        <v>323</v>
      </c>
      <c r="C89" s="17" t="s">
        <v>636</v>
      </c>
      <c r="D89" s="20" t="s">
        <v>27</v>
      </c>
      <c r="E89" s="23"/>
      <c r="F89" s="21"/>
      <c r="G89" s="22"/>
      <c r="H89" s="23"/>
      <c r="I89" s="23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ht="39.75" customHeight="1">
      <c r="A90" s="24" t="s">
        <v>11</v>
      </c>
      <c r="B90" s="18" t="s">
        <v>323</v>
      </c>
      <c r="C90" s="17" t="s">
        <v>642</v>
      </c>
      <c r="D90" s="19" t="s">
        <v>27</v>
      </c>
      <c r="E90" s="20" t="s">
        <v>27</v>
      </c>
      <c r="F90" s="20"/>
      <c r="G90" s="20"/>
      <c r="H90" s="20"/>
      <c r="I90" s="20" t="s">
        <v>31</v>
      </c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ht="39.75" customHeight="1">
      <c r="A91" s="24" t="s">
        <v>11</v>
      </c>
      <c r="B91" s="18" t="s">
        <v>323</v>
      </c>
      <c r="C91" s="17" t="s">
        <v>649</v>
      </c>
      <c r="D91" s="19" t="s">
        <v>27</v>
      </c>
      <c r="E91" s="20"/>
      <c r="F91" s="21"/>
      <c r="G91" s="22"/>
      <c r="H91" s="23"/>
      <c r="I91" s="23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>
      <c r="A92" s="24" t="s">
        <v>11</v>
      </c>
      <c r="B92" s="18" t="s">
        <v>323</v>
      </c>
      <c r="C92" s="17" t="s">
        <v>653</v>
      </c>
      <c r="D92" s="19" t="s">
        <v>27</v>
      </c>
      <c r="E92" s="19" t="s">
        <v>27</v>
      </c>
      <c r="F92" s="20" t="s">
        <v>654</v>
      </c>
      <c r="G92" s="20" t="s">
        <v>657</v>
      </c>
      <c r="H92" s="20"/>
      <c r="I92" s="20" t="s">
        <v>659</v>
      </c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>
      <c r="A93" s="24" t="s">
        <v>11</v>
      </c>
      <c r="B93" s="18" t="s">
        <v>323</v>
      </c>
      <c r="C93" s="17" t="s">
        <v>661</v>
      </c>
      <c r="D93" s="19" t="s">
        <v>27</v>
      </c>
      <c r="E93" s="19" t="s">
        <v>27</v>
      </c>
      <c r="F93" s="20" t="s">
        <v>654</v>
      </c>
      <c r="G93" s="20" t="s">
        <v>664</v>
      </c>
      <c r="H93" s="22"/>
      <c r="I93" s="22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ht="39.75" customHeight="1">
      <c r="A94" s="24" t="s">
        <v>11</v>
      </c>
      <c r="B94" s="18" t="s">
        <v>323</v>
      </c>
      <c r="C94" s="17" t="s">
        <v>671</v>
      </c>
      <c r="D94" s="21"/>
      <c r="E94" s="19" t="s">
        <v>27</v>
      </c>
      <c r="F94" s="21"/>
      <c r="G94" s="22"/>
      <c r="H94" s="23"/>
      <c r="I94" s="23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ht="39.75" customHeight="1">
      <c r="A95" s="24" t="s">
        <v>11</v>
      </c>
      <c r="B95" s="18" t="s">
        <v>323</v>
      </c>
      <c r="C95" s="17" t="s">
        <v>676</v>
      </c>
      <c r="D95" s="21"/>
      <c r="E95" s="20" t="s">
        <v>27</v>
      </c>
      <c r="F95" s="21"/>
      <c r="G95" s="22"/>
      <c r="H95" s="23"/>
      <c r="I95" s="23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ht="39.75" customHeight="1">
      <c r="A96" s="24" t="s">
        <v>11</v>
      </c>
      <c r="B96" s="18" t="s">
        <v>323</v>
      </c>
      <c r="C96" s="17" t="s">
        <v>681</v>
      </c>
      <c r="D96" s="19" t="s">
        <v>27</v>
      </c>
      <c r="E96" s="20" t="s">
        <v>27</v>
      </c>
      <c r="F96" s="21"/>
      <c r="G96" s="22"/>
      <c r="H96" s="23"/>
      <c r="I96" s="20" t="s">
        <v>31</v>
      </c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>
      <c r="A97" s="24" t="s">
        <v>11</v>
      </c>
      <c r="B97" s="18" t="s">
        <v>323</v>
      </c>
      <c r="C97" s="17" t="s">
        <v>687</v>
      </c>
      <c r="D97" s="21"/>
      <c r="E97" s="20" t="s">
        <v>27</v>
      </c>
      <c r="F97" s="19" t="s">
        <v>691</v>
      </c>
      <c r="G97" s="19" t="s">
        <v>215</v>
      </c>
      <c r="H97" s="23"/>
      <c r="I97" s="20" t="s">
        <v>692</v>
      </c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ht="39.75" customHeight="1">
      <c r="A98" s="24" t="s">
        <v>11</v>
      </c>
      <c r="B98" s="18" t="s">
        <v>323</v>
      </c>
      <c r="C98" s="17" t="s">
        <v>697</v>
      </c>
      <c r="D98" s="19" t="s">
        <v>27</v>
      </c>
      <c r="E98" s="19" t="s">
        <v>27</v>
      </c>
      <c r="F98" s="19"/>
      <c r="G98" s="19"/>
      <c r="H98" s="23"/>
      <c r="I98" s="20" t="s">
        <v>31</v>
      </c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ht="39.75" customHeight="1">
      <c r="A99" s="24" t="s">
        <v>11</v>
      </c>
      <c r="B99" s="18" t="s">
        <v>323</v>
      </c>
      <c r="C99" s="17" t="s">
        <v>702</v>
      </c>
      <c r="D99" s="19" t="s">
        <v>27</v>
      </c>
      <c r="E99" s="19" t="s">
        <v>27</v>
      </c>
      <c r="F99" s="19" t="s">
        <v>37</v>
      </c>
      <c r="G99" s="19" t="s">
        <v>705</v>
      </c>
      <c r="H99" s="23"/>
      <c r="I99" s="20" t="s">
        <v>31</v>
      </c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>
      <c r="A100" s="17" t="s">
        <v>11</v>
      </c>
      <c r="B100" s="17" t="s">
        <v>323</v>
      </c>
      <c r="C100" s="17" t="s">
        <v>710</v>
      </c>
      <c r="D100" s="23"/>
      <c r="E100" s="20" t="s">
        <v>27</v>
      </c>
      <c r="F100" s="21"/>
      <c r="G100" s="22"/>
      <c r="H100" s="20"/>
      <c r="I100" s="20" t="s">
        <v>713</v>
      </c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>
      <c r="A101" s="17" t="s">
        <v>11</v>
      </c>
      <c r="B101" s="17" t="s">
        <v>323</v>
      </c>
      <c r="C101" s="17" t="s">
        <v>718</v>
      </c>
      <c r="D101" s="20" t="s">
        <v>27</v>
      </c>
      <c r="E101" s="20" t="s">
        <v>27</v>
      </c>
      <c r="F101" s="21"/>
      <c r="G101" s="22"/>
      <c r="H101" s="20"/>
      <c r="I101" s="20" t="s">
        <v>31</v>
      </c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ht="39.75" customHeight="1">
      <c r="A102" s="24" t="s">
        <v>11</v>
      </c>
      <c r="B102" s="18" t="s">
        <v>323</v>
      </c>
      <c r="C102" s="17" t="s">
        <v>723</v>
      </c>
      <c r="D102" s="20" t="s">
        <v>27</v>
      </c>
      <c r="E102" s="20" t="s">
        <v>27</v>
      </c>
      <c r="F102" s="21"/>
      <c r="G102" s="22"/>
      <c r="H102" s="23"/>
      <c r="I102" s="20" t="s">
        <v>31</v>
      </c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ht="39.75" customHeight="1">
      <c r="A103" s="24" t="s">
        <v>11</v>
      </c>
      <c r="B103" s="18" t="s">
        <v>323</v>
      </c>
      <c r="C103" s="17" t="s">
        <v>729</v>
      </c>
      <c r="D103" s="19" t="s">
        <v>27</v>
      </c>
      <c r="E103" s="19" t="s">
        <v>27</v>
      </c>
      <c r="F103" s="21"/>
      <c r="G103" s="22"/>
      <c r="H103" s="23"/>
      <c r="I103" s="20" t="s">
        <v>31</v>
      </c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ht="42.0" customHeight="1">
      <c r="A104" s="24" t="s">
        <v>11</v>
      </c>
      <c r="B104" s="18" t="s">
        <v>323</v>
      </c>
      <c r="C104" s="17" t="s">
        <v>745</v>
      </c>
      <c r="D104" s="19" t="s">
        <v>27</v>
      </c>
      <c r="E104" s="20" t="s">
        <v>27</v>
      </c>
      <c r="F104" s="21"/>
      <c r="G104" s="22"/>
      <c r="H104" s="23"/>
      <c r="I104" s="20" t="s">
        <v>31</v>
      </c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ht="39.75" customHeight="1">
      <c r="A105" s="24" t="s">
        <v>11</v>
      </c>
      <c r="B105" s="18" t="s">
        <v>323</v>
      </c>
      <c r="C105" s="17" t="s">
        <v>751</v>
      </c>
      <c r="D105" s="19" t="s">
        <v>27</v>
      </c>
      <c r="E105" s="20" t="s">
        <v>27</v>
      </c>
      <c r="F105" s="21"/>
      <c r="G105" s="22"/>
      <c r="H105" s="23"/>
      <c r="I105" s="20" t="s">
        <v>31</v>
      </c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ht="39.75" customHeight="1">
      <c r="A106" s="24" t="s">
        <v>11</v>
      </c>
      <c r="B106" s="18" t="s">
        <v>323</v>
      </c>
      <c r="C106" s="17" t="s">
        <v>759</v>
      </c>
      <c r="D106" s="20" t="s">
        <v>27</v>
      </c>
      <c r="E106" s="20" t="s">
        <v>27</v>
      </c>
      <c r="F106" s="21"/>
      <c r="G106" s="22"/>
      <c r="H106" s="23"/>
      <c r="I106" s="23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ht="39.75" customHeight="1">
      <c r="A107" s="17" t="s">
        <v>11</v>
      </c>
      <c r="B107" s="17" t="s">
        <v>323</v>
      </c>
      <c r="C107" s="17" t="s">
        <v>768</v>
      </c>
      <c r="D107" s="19" t="s">
        <v>27</v>
      </c>
      <c r="E107" s="20" t="s">
        <v>27</v>
      </c>
      <c r="F107" s="21"/>
      <c r="G107" s="22"/>
      <c r="H107" s="23"/>
      <c r="I107" s="20" t="s">
        <v>31</v>
      </c>
      <c r="J107" s="10"/>
      <c r="K107" s="10"/>
      <c r="L107" s="10"/>
      <c r="M107" s="10"/>
      <c r="N107" s="10"/>
      <c r="O107" s="28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ht="39.75" customHeight="1">
      <c r="A108" s="24" t="s">
        <v>11</v>
      </c>
      <c r="B108" s="18" t="s">
        <v>323</v>
      </c>
      <c r="C108" s="17" t="s">
        <v>769</v>
      </c>
      <c r="D108" s="21"/>
      <c r="E108" s="20" t="s">
        <v>27</v>
      </c>
      <c r="F108" s="30"/>
      <c r="G108" s="22"/>
      <c r="H108" s="20"/>
      <c r="I108" s="20" t="s">
        <v>31</v>
      </c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</row>
    <row r="109" ht="39.75" customHeight="1">
      <c r="A109" s="17" t="s">
        <v>11</v>
      </c>
      <c r="B109" s="17" t="s">
        <v>323</v>
      </c>
      <c r="C109" s="17" t="s">
        <v>782</v>
      </c>
      <c r="D109" s="19" t="s">
        <v>27</v>
      </c>
      <c r="E109" s="20" t="s">
        <v>27</v>
      </c>
      <c r="F109" s="30"/>
      <c r="G109" s="22"/>
      <c r="H109" s="20"/>
      <c r="I109" s="20" t="s">
        <v>783</v>
      </c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</row>
    <row r="110" ht="39.75" customHeight="1">
      <c r="A110" s="24" t="s">
        <v>11</v>
      </c>
      <c r="B110" s="18" t="s">
        <v>323</v>
      </c>
      <c r="C110" s="17" t="s">
        <v>788</v>
      </c>
      <c r="D110" s="19" t="s">
        <v>27</v>
      </c>
      <c r="E110" s="20" t="s">
        <v>27</v>
      </c>
      <c r="F110" s="30"/>
      <c r="G110" s="22"/>
      <c r="H110" s="23"/>
      <c r="I110" s="20" t="s">
        <v>31</v>
      </c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ht="39.75" customHeight="1">
      <c r="A111" s="24" t="s">
        <v>11</v>
      </c>
      <c r="B111" s="18" t="s">
        <v>323</v>
      </c>
      <c r="C111" s="17" t="s">
        <v>793</v>
      </c>
      <c r="D111" s="20" t="s">
        <v>27</v>
      </c>
      <c r="E111" s="20" t="s">
        <v>27</v>
      </c>
      <c r="F111" s="21"/>
      <c r="G111" s="22"/>
      <c r="H111" s="20"/>
      <c r="I111" s="20" t="s">
        <v>31</v>
      </c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 ht="39.75" customHeight="1">
      <c r="A112" s="17" t="s">
        <v>11</v>
      </c>
      <c r="B112" s="17" t="s">
        <v>323</v>
      </c>
      <c r="C112" s="17" t="s">
        <v>798</v>
      </c>
      <c r="D112" s="19" t="s">
        <v>27</v>
      </c>
      <c r="E112" s="19" t="s">
        <v>27</v>
      </c>
      <c r="F112" s="21"/>
      <c r="G112" s="22"/>
      <c r="H112" s="20"/>
      <c r="I112" s="20" t="s">
        <v>31</v>
      </c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 ht="39.75" customHeight="1">
      <c r="A113" s="24" t="s">
        <v>11</v>
      </c>
      <c r="B113" s="18" t="s">
        <v>323</v>
      </c>
      <c r="C113" s="17" t="s">
        <v>803</v>
      </c>
      <c r="D113" s="19" t="s">
        <v>27</v>
      </c>
      <c r="E113" s="20" t="s">
        <v>27</v>
      </c>
      <c r="F113" s="21"/>
      <c r="G113" s="22"/>
      <c r="H113" s="23"/>
      <c r="I113" s="20" t="s">
        <v>31</v>
      </c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ht="39.75" customHeight="1">
      <c r="A114" s="24" t="s">
        <v>11</v>
      </c>
      <c r="B114" s="18" t="s">
        <v>323</v>
      </c>
      <c r="C114" s="17" t="s">
        <v>808</v>
      </c>
      <c r="D114" s="19" t="s">
        <v>27</v>
      </c>
      <c r="E114" s="19" t="s">
        <v>27</v>
      </c>
      <c r="F114" s="21"/>
      <c r="G114" s="22"/>
      <c r="H114" s="23"/>
      <c r="I114" s="20" t="s">
        <v>31</v>
      </c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ht="39.75" customHeight="1">
      <c r="A115" s="24" t="s">
        <v>11</v>
      </c>
      <c r="B115" s="18" t="s">
        <v>323</v>
      </c>
      <c r="C115" s="17" t="s">
        <v>813</v>
      </c>
      <c r="D115" s="19"/>
      <c r="E115" s="19" t="s">
        <v>27</v>
      </c>
      <c r="F115" s="21"/>
      <c r="G115" s="22"/>
      <c r="H115" s="30"/>
      <c r="I115" s="20" t="s">
        <v>31</v>
      </c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ht="125.25" customHeight="1">
      <c r="A116" s="24" t="s">
        <v>11</v>
      </c>
      <c r="B116" s="18" t="s">
        <v>323</v>
      </c>
      <c r="C116" s="17" t="s">
        <v>814</v>
      </c>
      <c r="D116" s="19" t="s">
        <v>27</v>
      </c>
      <c r="E116" s="19" t="s">
        <v>27</v>
      </c>
      <c r="F116" s="20" t="s">
        <v>37</v>
      </c>
      <c r="G116" s="20" t="s">
        <v>815</v>
      </c>
      <c r="H116" s="45"/>
      <c r="I116" s="45" t="s">
        <v>816</v>
      </c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ht="39.75" customHeight="1">
      <c r="A117" s="24" t="s">
        <v>11</v>
      </c>
      <c r="B117" s="18" t="s">
        <v>323</v>
      </c>
      <c r="C117" s="17" t="s">
        <v>820</v>
      </c>
      <c r="D117" s="20" t="s">
        <v>27</v>
      </c>
      <c r="E117" s="20" t="s">
        <v>27</v>
      </c>
      <c r="F117" s="21"/>
      <c r="G117" s="22"/>
      <c r="H117" s="23"/>
      <c r="I117" s="23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ht="39.75" customHeight="1">
      <c r="A118" s="24" t="s">
        <v>11</v>
      </c>
      <c r="B118" s="18" t="s">
        <v>323</v>
      </c>
      <c r="C118" s="17" t="s">
        <v>823</v>
      </c>
      <c r="D118" s="21"/>
      <c r="E118" s="20" t="s">
        <v>27</v>
      </c>
      <c r="F118" s="21"/>
      <c r="G118" s="22"/>
      <c r="H118" s="23"/>
      <c r="I118" s="23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ht="39.75" customHeight="1">
      <c r="A119" s="17" t="s">
        <v>11</v>
      </c>
      <c r="B119" s="17" t="s">
        <v>323</v>
      </c>
      <c r="C119" s="17" t="s">
        <v>834</v>
      </c>
      <c r="D119" s="20" t="s">
        <v>27</v>
      </c>
      <c r="E119" s="20" t="s">
        <v>27</v>
      </c>
      <c r="F119" s="21"/>
      <c r="G119" s="22"/>
      <c r="H119" s="23"/>
      <c r="I119" s="20" t="s">
        <v>31</v>
      </c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ht="39.75" customHeight="1">
      <c r="A120" s="17" t="s">
        <v>11</v>
      </c>
      <c r="B120" s="17" t="s">
        <v>323</v>
      </c>
      <c r="C120" s="17" t="s">
        <v>837</v>
      </c>
      <c r="D120" s="20" t="s">
        <v>27</v>
      </c>
      <c r="E120" s="20" t="s">
        <v>27</v>
      </c>
      <c r="F120" s="21"/>
      <c r="G120" s="22"/>
      <c r="H120" s="23"/>
      <c r="I120" s="23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ht="39.75" customHeight="1">
      <c r="A121" s="17" t="s">
        <v>11</v>
      </c>
      <c r="B121" s="17" t="s">
        <v>323</v>
      </c>
      <c r="C121" s="17" t="s">
        <v>843</v>
      </c>
      <c r="D121" s="20" t="s">
        <v>27</v>
      </c>
      <c r="E121" s="23"/>
      <c r="F121" s="21"/>
      <c r="G121" s="22"/>
      <c r="H121" s="23"/>
      <c r="I121" s="23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ht="39.75" customHeight="1">
      <c r="A122" s="17" t="s">
        <v>11</v>
      </c>
      <c r="B122" s="17" t="s">
        <v>323</v>
      </c>
      <c r="C122" s="17" t="s">
        <v>847</v>
      </c>
      <c r="D122" s="20" t="s">
        <v>27</v>
      </c>
      <c r="E122" s="20" t="s">
        <v>27</v>
      </c>
      <c r="F122" s="21"/>
      <c r="G122" s="22"/>
      <c r="H122" s="23"/>
      <c r="I122" s="23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ht="39.75" customHeight="1">
      <c r="A123" s="17" t="s">
        <v>11</v>
      </c>
      <c r="B123" s="17" t="s">
        <v>323</v>
      </c>
      <c r="C123" s="17" t="s">
        <v>851</v>
      </c>
      <c r="D123" s="20" t="s">
        <v>27</v>
      </c>
      <c r="E123" s="23"/>
      <c r="F123" s="21"/>
      <c r="G123" s="22"/>
      <c r="H123" s="20"/>
      <c r="I123" s="20" t="s">
        <v>31</v>
      </c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 ht="39.75" customHeight="1">
      <c r="A124" s="17" t="s">
        <v>11</v>
      </c>
      <c r="B124" s="17" t="s">
        <v>323</v>
      </c>
      <c r="C124" s="17" t="s">
        <v>856</v>
      </c>
      <c r="D124" s="20"/>
      <c r="E124" s="23" t="s">
        <v>27</v>
      </c>
      <c r="F124" s="21"/>
      <c r="G124" s="22"/>
      <c r="H124" s="20"/>
      <c r="I124" s="20" t="s">
        <v>31</v>
      </c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ht="39.75" customHeight="1">
      <c r="A125" s="17" t="s">
        <v>11</v>
      </c>
      <c r="B125" s="17" t="s">
        <v>323</v>
      </c>
      <c r="C125" s="17" t="s">
        <v>861</v>
      </c>
      <c r="D125" s="20" t="s">
        <v>27</v>
      </c>
      <c r="E125" s="23"/>
      <c r="F125" s="21"/>
      <c r="G125" s="22"/>
      <c r="H125" s="20"/>
      <c r="I125" s="2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ht="39.75" customHeight="1">
      <c r="A126" s="17" t="s">
        <v>11</v>
      </c>
      <c r="B126" s="17" t="s">
        <v>323</v>
      </c>
      <c r="C126" s="17" t="s">
        <v>866</v>
      </c>
      <c r="D126" s="23"/>
      <c r="E126" s="23" t="s">
        <v>27</v>
      </c>
      <c r="F126" s="21"/>
      <c r="G126" s="22"/>
      <c r="H126" s="23"/>
      <c r="I126" s="20" t="s">
        <v>31</v>
      </c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ht="39.75" customHeight="1">
      <c r="A127" s="17" t="s">
        <v>11</v>
      </c>
      <c r="B127" s="17" t="s">
        <v>323</v>
      </c>
      <c r="C127" s="17" t="s">
        <v>871</v>
      </c>
      <c r="D127" s="20" t="s">
        <v>27</v>
      </c>
      <c r="E127" s="20" t="s">
        <v>27</v>
      </c>
      <c r="F127" s="21"/>
      <c r="G127" s="22"/>
      <c r="H127" s="23"/>
      <c r="I127" s="20" t="s">
        <v>31</v>
      </c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ht="39.75" customHeight="1">
      <c r="A128" s="17" t="s">
        <v>11</v>
      </c>
      <c r="B128" s="17" t="s">
        <v>323</v>
      </c>
      <c r="C128" s="17" t="s">
        <v>876</v>
      </c>
      <c r="D128" s="20" t="s">
        <v>27</v>
      </c>
      <c r="E128" s="20" t="s">
        <v>27</v>
      </c>
      <c r="F128" s="21"/>
      <c r="G128" s="22"/>
      <c r="H128" s="23"/>
      <c r="I128" s="20" t="s">
        <v>31</v>
      </c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ht="39.75" customHeight="1">
      <c r="A129" s="24" t="s">
        <v>11</v>
      </c>
      <c r="B129" s="18" t="s">
        <v>670</v>
      </c>
      <c r="C129" s="18" t="s">
        <v>881</v>
      </c>
      <c r="D129" s="23" t="s">
        <v>27</v>
      </c>
      <c r="E129" s="23" t="s">
        <v>27</v>
      </c>
      <c r="F129" s="21"/>
      <c r="G129" s="22"/>
      <c r="H129" s="23"/>
      <c r="I129" s="23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ht="39.75" customHeight="1">
      <c r="A130" s="24" t="s">
        <v>11</v>
      </c>
      <c r="B130" s="18" t="s">
        <v>307</v>
      </c>
      <c r="C130" s="17" t="s">
        <v>886</v>
      </c>
      <c r="D130" s="21" t="s">
        <v>27</v>
      </c>
      <c r="E130" s="23" t="s">
        <v>27</v>
      </c>
      <c r="F130" s="21"/>
      <c r="G130" s="22"/>
      <c r="H130" s="20"/>
      <c r="I130" s="20" t="s">
        <v>31</v>
      </c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 ht="39.75" customHeight="1">
      <c r="A131" s="24" t="s">
        <v>11</v>
      </c>
      <c r="B131" s="24" t="s">
        <v>307</v>
      </c>
      <c r="C131" s="18" t="s">
        <v>891</v>
      </c>
      <c r="D131" s="21"/>
      <c r="E131" s="23" t="s">
        <v>27</v>
      </c>
      <c r="F131" s="21"/>
      <c r="G131" s="22"/>
      <c r="H131" s="20"/>
      <c r="I131" s="20" t="s">
        <v>31</v>
      </c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 ht="39.75" customHeight="1">
      <c r="A132" s="17" t="s">
        <v>11</v>
      </c>
      <c r="B132" s="17" t="s">
        <v>307</v>
      </c>
      <c r="C132" s="17" t="s">
        <v>894</v>
      </c>
      <c r="D132" s="21"/>
      <c r="E132" s="20" t="s">
        <v>27</v>
      </c>
      <c r="F132" s="21"/>
      <c r="G132" s="22"/>
      <c r="H132" s="20"/>
      <c r="I132" s="20" t="s">
        <v>31</v>
      </c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ht="39.75" customHeight="1">
      <c r="A133" s="24" t="s">
        <v>11</v>
      </c>
      <c r="B133" s="24" t="s">
        <v>625</v>
      </c>
      <c r="C133" s="17" t="s">
        <v>901</v>
      </c>
      <c r="D133" s="19" t="s">
        <v>27</v>
      </c>
      <c r="E133" s="20" t="s">
        <v>27</v>
      </c>
      <c r="F133" s="21"/>
      <c r="G133" s="22"/>
      <c r="H133" s="20"/>
      <c r="I133" s="20" t="s">
        <v>902</v>
      </c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ht="39.75" customHeight="1">
      <c r="A134" s="24" t="s">
        <v>11</v>
      </c>
      <c r="B134" s="24" t="s">
        <v>340</v>
      </c>
      <c r="C134" s="18" t="s">
        <v>906</v>
      </c>
      <c r="D134" s="21"/>
      <c r="E134" s="23"/>
      <c r="F134" s="23" t="s">
        <v>37</v>
      </c>
      <c r="G134" s="23" t="s">
        <v>908</v>
      </c>
      <c r="H134" s="23"/>
      <c r="I134" s="23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ht="39.75" customHeight="1">
      <c r="A135" s="24" t="s">
        <v>11</v>
      </c>
      <c r="B135" s="24" t="s">
        <v>340</v>
      </c>
      <c r="C135" s="18" t="s">
        <v>913</v>
      </c>
      <c r="D135" s="19" t="s">
        <v>27</v>
      </c>
      <c r="E135" s="21" t="s">
        <v>27</v>
      </c>
      <c r="F135" s="19" t="s">
        <v>37</v>
      </c>
      <c r="G135" s="23" t="s">
        <v>915</v>
      </c>
      <c r="H135" s="23"/>
      <c r="I135" s="20" t="s">
        <v>31</v>
      </c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 ht="39.75" customHeight="1">
      <c r="A136" s="17" t="s">
        <v>11</v>
      </c>
      <c r="B136" s="17" t="s">
        <v>340</v>
      </c>
      <c r="C136" s="17" t="s">
        <v>919</v>
      </c>
      <c r="D136" s="21" t="s">
        <v>27</v>
      </c>
      <c r="E136" s="23"/>
      <c r="F136" s="21"/>
      <c r="G136" s="22"/>
      <c r="H136" s="20"/>
      <c r="I136" s="20" t="s">
        <v>31</v>
      </c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 ht="39.75" customHeight="1">
      <c r="A137" s="17" t="s">
        <v>11</v>
      </c>
      <c r="B137" s="17" t="s">
        <v>340</v>
      </c>
      <c r="C137" s="17" t="s">
        <v>924</v>
      </c>
      <c r="D137" s="19" t="s">
        <v>27</v>
      </c>
      <c r="E137" s="23"/>
      <c r="F137" s="21"/>
      <c r="G137" s="22"/>
      <c r="H137" s="23"/>
      <c r="I137" s="23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ht="39.75" customHeight="1">
      <c r="A138" s="17" t="s">
        <v>11</v>
      </c>
      <c r="B138" s="17" t="s">
        <v>340</v>
      </c>
      <c r="C138" s="17" t="s">
        <v>928</v>
      </c>
      <c r="D138" s="19" t="s">
        <v>27</v>
      </c>
      <c r="E138" s="23"/>
      <c r="F138" s="21"/>
      <c r="G138" s="22"/>
      <c r="H138" s="23"/>
      <c r="I138" s="20" t="s">
        <v>31</v>
      </c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 ht="39.75" customHeight="1">
      <c r="A139" s="17" t="s">
        <v>11</v>
      </c>
      <c r="B139" s="17" t="s">
        <v>340</v>
      </c>
      <c r="C139" s="17" t="s">
        <v>929</v>
      </c>
      <c r="D139" s="19"/>
      <c r="E139" s="23"/>
      <c r="F139" s="21"/>
      <c r="G139" s="22"/>
      <c r="H139" s="20" t="s">
        <v>931</v>
      </c>
      <c r="I139" s="20" t="s">
        <v>31</v>
      </c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 ht="39.75" customHeight="1">
      <c r="A140" s="17" t="s">
        <v>11</v>
      </c>
      <c r="B140" s="17" t="s">
        <v>340</v>
      </c>
      <c r="C140" s="17" t="s">
        <v>932</v>
      </c>
      <c r="D140" s="21" t="s">
        <v>27</v>
      </c>
      <c r="E140" s="23"/>
      <c r="F140" s="21"/>
      <c r="G140" s="22"/>
      <c r="H140" s="20"/>
      <c r="I140" s="20" t="s">
        <v>31</v>
      </c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 ht="39.75" customHeight="1">
      <c r="A141" s="17" t="s">
        <v>11</v>
      </c>
      <c r="B141" s="17" t="s">
        <v>340</v>
      </c>
      <c r="C141" s="17" t="s">
        <v>933</v>
      </c>
      <c r="D141" s="21" t="s">
        <v>27</v>
      </c>
      <c r="E141" s="21"/>
      <c r="F141" s="21"/>
      <c r="G141" s="22"/>
      <c r="H141" s="23"/>
      <c r="I141" s="20" t="s">
        <v>31</v>
      </c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ht="39.75" customHeight="1">
      <c r="A142" s="24" t="s">
        <v>11</v>
      </c>
      <c r="B142" s="18" t="s">
        <v>241</v>
      </c>
      <c r="C142" s="17" t="s">
        <v>934</v>
      </c>
      <c r="D142" s="21" t="s">
        <v>27</v>
      </c>
      <c r="E142" s="21" t="s">
        <v>27</v>
      </c>
      <c r="F142" s="21"/>
      <c r="G142" s="22"/>
      <c r="H142" s="23"/>
      <c r="I142" s="20" t="s">
        <v>31</v>
      </c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ht="39.75" customHeight="1">
      <c r="A143" s="24" t="s">
        <v>11</v>
      </c>
      <c r="B143" s="18" t="s">
        <v>241</v>
      </c>
      <c r="C143" s="18" t="s">
        <v>935</v>
      </c>
      <c r="D143" s="21" t="s">
        <v>27</v>
      </c>
      <c r="E143" s="21" t="s">
        <v>27</v>
      </c>
      <c r="F143" s="21"/>
      <c r="G143" s="22"/>
      <c r="H143" s="23"/>
      <c r="I143" s="20" t="s">
        <v>31</v>
      </c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ht="39.75" customHeight="1">
      <c r="A144" s="24" t="s">
        <v>11</v>
      </c>
      <c r="B144" s="18" t="s">
        <v>241</v>
      </c>
      <c r="C144" s="18" t="s">
        <v>936</v>
      </c>
      <c r="D144" s="21" t="s">
        <v>27</v>
      </c>
      <c r="E144" s="21" t="s">
        <v>27</v>
      </c>
      <c r="F144" s="21"/>
      <c r="G144" s="22"/>
      <c r="H144" s="23"/>
      <c r="I144" s="20" t="s">
        <v>31</v>
      </c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ht="39.75" customHeight="1">
      <c r="A145" s="24" t="s">
        <v>11</v>
      </c>
      <c r="B145" s="18" t="s">
        <v>241</v>
      </c>
      <c r="C145" s="18" t="s">
        <v>937</v>
      </c>
      <c r="D145" s="23" t="s">
        <v>27</v>
      </c>
      <c r="E145" s="23" t="s">
        <v>27</v>
      </c>
      <c r="F145" s="21"/>
      <c r="G145" s="22"/>
      <c r="H145" s="23"/>
      <c r="I145" s="20" t="s">
        <v>31</v>
      </c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ht="39.75" customHeight="1">
      <c r="A146" s="24" t="s">
        <v>11</v>
      </c>
      <c r="B146" s="18" t="s">
        <v>241</v>
      </c>
      <c r="C146" s="18" t="s">
        <v>938</v>
      </c>
      <c r="D146" s="23"/>
      <c r="E146" s="20" t="s">
        <v>27</v>
      </c>
      <c r="F146" s="21"/>
      <c r="G146" s="22"/>
      <c r="H146" s="23"/>
      <c r="I146" s="20" t="s">
        <v>31</v>
      </c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ht="39.75" customHeight="1">
      <c r="A147" s="24" t="s">
        <v>11</v>
      </c>
      <c r="B147" s="18" t="s">
        <v>241</v>
      </c>
      <c r="C147" s="17" t="s">
        <v>939</v>
      </c>
      <c r="D147" s="21" t="s">
        <v>27</v>
      </c>
      <c r="E147" s="21" t="s">
        <v>27</v>
      </c>
      <c r="F147" s="21"/>
      <c r="G147" s="22"/>
      <c r="H147" s="23"/>
      <c r="I147" s="20" t="s">
        <v>31</v>
      </c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 ht="39.75" customHeight="1">
      <c r="A148" s="24" t="s">
        <v>11</v>
      </c>
      <c r="B148" s="18" t="s">
        <v>621</v>
      </c>
      <c r="C148" s="18" t="s">
        <v>940</v>
      </c>
      <c r="D148" s="23" t="s">
        <v>27</v>
      </c>
      <c r="E148" s="23" t="s">
        <v>27</v>
      </c>
      <c r="F148" s="21" t="s">
        <v>37</v>
      </c>
      <c r="G148" s="23" t="s">
        <v>215</v>
      </c>
      <c r="H148" s="20"/>
      <c r="I148" s="20" t="s">
        <v>31</v>
      </c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 ht="39.75" customHeight="1">
      <c r="A149" s="24" t="s">
        <v>11</v>
      </c>
      <c r="B149" s="18" t="s">
        <v>621</v>
      </c>
      <c r="C149" s="18" t="s">
        <v>941</v>
      </c>
      <c r="D149" s="21" t="s">
        <v>27</v>
      </c>
      <c r="E149" s="23" t="s">
        <v>27</v>
      </c>
      <c r="F149" s="21"/>
      <c r="G149" s="22"/>
      <c r="H149" s="23"/>
      <c r="I149" s="20" t="s">
        <v>31</v>
      </c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ht="39.75" customHeight="1">
      <c r="A150" s="17" t="s">
        <v>11</v>
      </c>
      <c r="B150" s="17" t="s">
        <v>621</v>
      </c>
      <c r="C150" s="17" t="s">
        <v>942</v>
      </c>
      <c r="D150" s="19" t="s">
        <v>27</v>
      </c>
      <c r="E150" s="20" t="s">
        <v>27</v>
      </c>
      <c r="F150" s="21"/>
      <c r="G150" s="22"/>
      <c r="H150" s="23"/>
      <c r="I150" s="23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ht="39.75" customHeight="1">
      <c r="A151" s="24" t="s">
        <v>11</v>
      </c>
      <c r="B151" s="18" t="s">
        <v>621</v>
      </c>
      <c r="C151" s="18" t="s">
        <v>943</v>
      </c>
      <c r="D151" s="19" t="s">
        <v>27</v>
      </c>
      <c r="E151" s="23" t="s">
        <v>27</v>
      </c>
      <c r="F151" s="21"/>
      <c r="G151" s="22"/>
      <c r="H151" s="23"/>
      <c r="I151" s="20" t="s">
        <v>31</v>
      </c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ht="39.75" customHeight="1">
      <c r="A152" s="24" t="s">
        <v>11</v>
      </c>
      <c r="B152" s="18" t="s">
        <v>621</v>
      </c>
      <c r="C152" s="17" t="s">
        <v>944</v>
      </c>
      <c r="D152" s="21" t="s">
        <v>27</v>
      </c>
      <c r="E152" s="23"/>
      <c r="F152" s="21"/>
      <c r="G152" s="22"/>
      <c r="H152" s="23"/>
      <c r="I152" s="20" t="s">
        <v>31</v>
      </c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ht="75.75" customHeight="1">
      <c r="A153" s="24" t="s">
        <v>11</v>
      </c>
      <c r="B153" s="18" t="s">
        <v>621</v>
      </c>
      <c r="C153" s="17" t="s">
        <v>945</v>
      </c>
      <c r="D153" s="19" t="s">
        <v>27</v>
      </c>
      <c r="E153" s="23"/>
      <c r="F153" s="19" t="s">
        <v>29</v>
      </c>
      <c r="G153" s="20" t="s">
        <v>946</v>
      </c>
      <c r="H153" s="23"/>
      <c r="I153" s="20" t="s">
        <v>31</v>
      </c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ht="39.75" customHeight="1">
      <c r="A154" s="24" t="s">
        <v>11</v>
      </c>
      <c r="B154" s="18" t="s">
        <v>89</v>
      </c>
      <c r="C154" s="18" t="s">
        <v>947</v>
      </c>
      <c r="D154" s="21" t="s">
        <v>27</v>
      </c>
      <c r="E154" s="23" t="s">
        <v>27</v>
      </c>
      <c r="F154" s="21"/>
      <c r="G154" s="22"/>
      <c r="H154" s="23"/>
      <c r="I154" s="20" t="s">
        <v>31</v>
      </c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ht="39.75" customHeight="1">
      <c r="A155" s="24" t="s">
        <v>11</v>
      </c>
      <c r="B155" s="18" t="s">
        <v>89</v>
      </c>
      <c r="C155" s="18" t="s">
        <v>948</v>
      </c>
      <c r="D155" s="21"/>
      <c r="E155" s="23" t="s">
        <v>27</v>
      </c>
      <c r="F155" s="21"/>
      <c r="G155" s="22"/>
      <c r="H155" s="23"/>
      <c r="I155" s="23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ht="39.75" customHeight="1">
      <c r="A156" s="24" t="s">
        <v>11</v>
      </c>
      <c r="B156" s="18" t="s">
        <v>184</v>
      </c>
      <c r="C156" s="18" t="s">
        <v>949</v>
      </c>
      <c r="D156" s="21"/>
      <c r="E156" s="23" t="s">
        <v>27</v>
      </c>
      <c r="F156" s="21"/>
      <c r="G156" s="22"/>
      <c r="H156" s="23"/>
      <c r="I156" s="20" t="s">
        <v>31</v>
      </c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ht="39.75" customHeight="1">
      <c r="A157" s="24" t="s">
        <v>11</v>
      </c>
      <c r="B157" s="18" t="s">
        <v>184</v>
      </c>
      <c r="C157" s="17" t="s">
        <v>950</v>
      </c>
      <c r="D157" s="19" t="s">
        <v>27</v>
      </c>
      <c r="E157" s="20" t="s">
        <v>27</v>
      </c>
      <c r="F157" s="21"/>
      <c r="G157" s="22"/>
      <c r="H157" s="23"/>
      <c r="I157" s="20" t="s">
        <v>31</v>
      </c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ht="39.75" customHeight="1">
      <c r="A158" s="24" t="s">
        <v>11</v>
      </c>
      <c r="B158" s="18" t="s">
        <v>184</v>
      </c>
      <c r="C158" s="18" t="s">
        <v>951</v>
      </c>
      <c r="D158" s="21"/>
      <c r="E158" s="23" t="s">
        <v>394</v>
      </c>
      <c r="F158" s="21"/>
      <c r="G158" s="22"/>
      <c r="H158" s="23"/>
      <c r="I158" s="23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ht="39.75" customHeight="1">
      <c r="A159" s="24" t="s">
        <v>11</v>
      </c>
      <c r="B159" s="18" t="s">
        <v>777</v>
      </c>
      <c r="C159" s="18" t="s">
        <v>952</v>
      </c>
      <c r="D159" s="21" t="s">
        <v>27</v>
      </c>
      <c r="E159" s="21" t="s">
        <v>27</v>
      </c>
      <c r="F159" s="21" t="s">
        <v>27</v>
      </c>
      <c r="G159" s="20" t="s">
        <v>473</v>
      </c>
      <c r="H159" s="20"/>
      <c r="I159" s="20" t="s">
        <v>31</v>
      </c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 ht="39.75" customHeight="1">
      <c r="A160" s="24" t="s">
        <v>11</v>
      </c>
      <c r="B160" s="18" t="s">
        <v>777</v>
      </c>
      <c r="C160" s="18" t="s">
        <v>953</v>
      </c>
      <c r="D160" s="21" t="s">
        <v>27</v>
      </c>
      <c r="E160" s="23" t="s">
        <v>27</v>
      </c>
      <c r="F160" s="21"/>
      <c r="G160" s="22"/>
      <c r="H160" s="23"/>
      <c r="I160" s="20" t="s">
        <v>31</v>
      </c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ht="39.75" customHeight="1">
      <c r="A161" s="24" t="s">
        <v>11</v>
      </c>
      <c r="B161" s="18" t="s">
        <v>777</v>
      </c>
      <c r="C161" s="18" t="s">
        <v>954</v>
      </c>
      <c r="D161" s="21" t="s">
        <v>27</v>
      </c>
      <c r="E161" s="23" t="s">
        <v>27</v>
      </c>
      <c r="F161" s="21"/>
      <c r="G161" s="22"/>
      <c r="H161" s="20"/>
      <c r="I161" s="20" t="s">
        <v>31</v>
      </c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>
      <c r="A162" s="24" t="s">
        <v>11</v>
      </c>
      <c r="B162" s="18" t="s">
        <v>440</v>
      </c>
      <c r="C162" s="18" t="s">
        <v>955</v>
      </c>
      <c r="D162" s="21" t="s">
        <v>27</v>
      </c>
      <c r="E162" s="20" t="s">
        <v>27</v>
      </c>
      <c r="F162" s="21"/>
      <c r="G162" s="22"/>
      <c r="H162" s="20" t="s">
        <v>956</v>
      </c>
      <c r="I162" s="20" t="s">
        <v>31</v>
      </c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 ht="39.75" customHeight="1">
      <c r="A163" s="24" t="s">
        <v>11</v>
      </c>
      <c r="B163" s="18" t="s">
        <v>440</v>
      </c>
      <c r="C163" s="17" t="s">
        <v>957</v>
      </c>
      <c r="D163" s="21" t="s">
        <v>27</v>
      </c>
      <c r="E163" s="21" t="s">
        <v>27</v>
      </c>
      <c r="F163" s="23"/>
      <c r="G163" s="23"/>
      <c r="H163" s="23"/>
      <c r="I163" s="20" t="s">
        <v>31</v>
      </c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ht="39.75" customHeight="1">
      <c r="A164" s="24" t="s">
        <v>11</v>
      </c>
      <c r="B164" s="18" t="s">
        <v>440</v>
      </c>
      <c r="C164" s="17" t="s">
        <v>958</v>
      </c>
      <c r="D164" s="21" t="s">
        <v>27</v>
      </c>
      <c r="E164" s="21" t="s">
        <v>27</v>
      </c>
      <c r="F164" s="22"/>
      <c r="G164" s="22"/>
      <c r="H164" s="22"/>
      <c r="I164" s="20" t="s">
        <v>31</v>
      </c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ht="39.75" customHeight="1">
      <c r="A165" s="17" t="s">
        <v>11</v>
      </c>
      <c r="B165" s="17" t="s">
        <v>440</v>
      </c>
      <c r="C165" s="17" t="s">
        <v>959</v>
      </c>
      <c r="D165" s="21" t="s">
        <v>27</v>
      </c>
      <c r="E165" s="21" t="s">
        <v>27</v>
      </c>
      <c r="F165" s="22"/>
      <c r="G165" s="22"/>
      <c r="H165" s="22"/>
      <c r="I165" s="22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ht="39.75" customHeight="1">
      <c r="A166" s="24" t="s">
        <v>11</v>
      </c>
      <c r="B166" s="18" t="s">
        <v>685</v>
      </c>
      <c r="C166" s="18" t="s">
        <v>960</v>
      </c>
      <c r="D166" s="23" t="s">
        <v>27</v>
      </c>
      <c r="E166" s="23"/>
      <c r="F166" s="21"/>
      <c r="G166" s="22"/>
      <c r="H166" s="23"/>
      <c r="I166" s="23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ht="39.75" customHeight="1">
      <c r="A167" s="17" t="s">
        <v>11</v>
      </c>
      <c r="B167" s="17" t="s">
        <v>290</v>
      </c>
      <c r="C167" s="18" t="s">
        <v>961</v>
      </c>
      <c r="D167" s="21" t="s">
        <v>27</v>
      </c>
      <c r="E167" s="20" t="s">
        <v>27</v>
      </c>
      <c r="F167" s="21"/>
      <c r="G167" s="22"/>
      <c r="H167" s="23"/>
      <c r="I167" s="20" t="s">
        <v>31</v>
      </c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ht="39.75" customHeight="1">
      <c r="A168" s="17" t="s">
        <v>11</v>
      </c>
      <c r="B168" s="17" t="s">
        <v>290</v>
      </c>
      <c r="C168" s="18" t="s">
        <v>962</v>
      </c>
      <c r="D168" s="21" t="s">
        <v>27</v>
      </c>
      <c r="E168" s="23"/>
      <c r="F168" s="23"/>
      <c r="G168" s="23"/>
      <c r="H168" s="23"/>
      <c r="I168" s="23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ht="39.75" customHeight="1">
      <c r="A169" s="17" t="s">
        <v>11</v>
      </c>
      <c r="B169" s="17" t="s">
        <v>290</v>
      </c>
      <c r="C169" s="17" t="s">
        <v>963</v>
      </c>
      <c r="D169" s="21" t="s">
        <v>27</v>
      </c>
      <c r="E169" s="23" t="s">
        <v>27</v>
      </c>
      <c r="F169" s="21"/>
      <c r="G169" s="22"/>
      <c r="H169" s="23"/>
      <c r="I169" s="20" t="s">
        <v>31</v>
      </c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ht="39.75" customHeight="1">
      <c r="A170" s="17" t="s">
        <v>11</v>
      </c>
      <c r="B170" s="17" t="s">
        <v>290</v>
      </c>
      <c r="C170" s="17" t="s">
        <v>964</v>
      </c>
      <c r="D170" s="19"/>
      <c r="E170" s="23" t="s">
        <v>27</v>
      </c>
      <c r="F170" s="21"/>
      <c r="G170" s="22"/>
      <c r="H170" s="23"/>
      <c r="I170" s="20" t="s">
        <v>31</v>
      </c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ht="39.75" customHeight="1">
      <c r="A171" s="17" t="s">
        <v>11</v>
      </c>
      <c r="B171" s="17" t="s">
        <v>290</v>
      </c>
      <c r="C171" s="17" t="s">
        <v>965</v>
      </c>
      <c r="D171" s="19" t="s">
        <v>27</v>
      </c>
      <c r="E171" s="20"/>
      <c r="F171" s="21"/>
      <c r="G171" s="22"/>
      <c r="H171" s="23"/>
      <c r="I171" s="23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ht="39.75" customHeight="1">
      <c r="A172" s="17" t="s">
        <v>11</v>
      </c>
      <c r="B172" s="17" t="s">
        <v>290</v>
      </c>
      <c r="C172" s="17" t="s">
        <v>966</v>
      </c>
      <c r="D172" s="19"/>
      <c r="E172" s="20" t="s">
        <v>27</v>
      </c>
      <c r="F172" s="21"/>
      <c r="G172" s="22"/>
      <c r="H172" s="23"/>
      <c r="I172" s="20" t="s">
        <v>31</v>
      </c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ht="39.75" customHeight="1">
      <c r="A173" s="17" t="s">
        <v>11</v>
      </c>
      <c r="B173" s="17" t="s">
        <v>290</v>
      </c>
      <c r="C173" s="17" t="s">
        <v>967</v>
      </c>
      <c r="D173" s="21"/>
      <c r="E173" s="20" t="s">
        <v>27</v>
      </c>
      <c r="F173" s="21"/>
      <c r="G173" s="22"/>
      <c r="H173" s="23"/>
      <c r="I173" s="20" t="s">
        <v>31</v>
      </c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ht="39.75" customHeight="1">
      <c r="A174" s="17" t="s">
        <v>11</v>
      </c>
      <c r="B174" s="17" t="s">
        <v>246</v>
      </c>
      <c r="C174" s="17" t="s">
        <v>968</v>
      </c>
      <c r="D174" s="21"/>
      <c r="E174" s="20" t="s">
        <v>27</v>
      </c>
      <c r="F174" s="21"/>
      <c r="G174" s="22"/>
      <c r="H174" s="23"/>
      <c r="I174" s="23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ht="39.75" customHeight="1">
      <c r="A175" s="17" t="s">
        <v>11</v>
      </c>
      <c r="B175" s="17" t="s">
        <v>246</v>
      </c>
      <c r="C175" s="18" t="s">
        <v>969</v>
      </c>
      <c r="D175" s="21"/>
      <c r="E175" s="23" t="s">
        <v>27</v>
      </c>
      <c r="F175" s="21"/>
      <c r="G175" s="22"/>
      <c r="H175" s="23"/>
      <c r="I175" s="23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ht="39.75" customHeight="1">
      <c r="A176" s="17" t="s">
        <v>11</v>
      </c>
      <c r="B176" s="17" t="s">
        <v>246</v>
      </c>
      <c r="C176" s="17" t="s">
        <v>970</v>
      </c>
      <c r="D176" s="23" t="s">
        <v>27</v>
      </c>
      <c r="E176" s="23" t="s">
        <v>27</v>
      </c>
      <c r="F176" s="21"/>
      <c r="G176" s="22"/>
      <c r="H176" s="23"/>
      <c r="I176" s="23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ht="39.75" customHeight="1">
      <c r="A177" s="17" t="s">
        <v>11</v>
      </c>
      <c r="B177" s="17" t="s">
        <v>246</v>
      </c>
      <c r="C177" s="18" t="s">
        <v>971</v>
      </c>
      <c r="D177" s="23" t="s">
        <v>27</v>
      </c>
      <c r="E177" s="23" t="s">
        <v>27</v>
      </c>
      <c r="F177" s="21"/>
      <c r="G177" s="22"/>
      <c r="H177" s="23"/>
      <c r="I177" s="20" t="s">
        <v>31</v>
      </c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ht="39.75" customHeight="1">
      <c r="A178" s="17" t="s">
        <v>11</v>
      </c>
      <c r="B178" s="17" t="s">
        <v>246</v>
      </c>
      <c r="C178" s="18" t="s">
        <v>972</v>
      </c>
      <c r="D178" s="23" t="s">
        <v>27</v>
      </c>
      <c r="E178" s="23" t="s">
        <v>27</v>
      </c>
      <c r="F178" s="21"/>
      <c r="G178" s="22"/>
      <c r="H178" s="23"/>
      <c r="I178" s="20" t="s">
        <v>31</v>
      </c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ht="39.75" customHeight="1">
      <c r="A179" s="17" t="s">
        <v>11</v>
      </c>
      <c r="B179" s="17" t="s">
        <v>246</v>
      </c>
      <c r="C179" s="24" t="s">
        <v>973</v>
      </c>
      <c r="D179" s="23" t="s">
        <v>27</v>
      </c>
      <c r="E179" s="23" t="s">
        <v>27</v>
      </c>
      <c r="F179" s="21"/>
      <c r="G179" s="22"/>
      <c r="H179" s="20"/>
      <c r="I179" s="20" t="s">
        <v>31</v>
      </c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ht="39.75" customHeight="1">
      <c r="A180" s="17" t="s">
        <v>11</v>
      </c>
      <c r="B180" s="17" t="s">
        <v>246</v>
      </c>
      <c r="C180" s="18" t="s">
        <v>974</v>
      </c>
      <c r="D180" s="21" t="s">
        <v>27</v>
      </c>
      <c r="E180" s="23" t="s">
        <v>27</v>
      </c>
      <c r="F180" s="19" t="s">
        <v>37</v>
      </c>
      <c r="G180" s="20" t="s">
        <v>975</v>
      </c>
      <c r="H180" s="30"/>
      <c r="I180" s="20" t="s">
        <v>31</v>
      </c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ht="39.75" customHeight="1">
      <c r="A181" s="17" t="s">
        <v>11</v>
      </c>
      <c r="B181" s="17" t="s">
        <v>246</v>
      </c>
      <c r="C181" s="17" t="s">
        <v>976</v>
      </c>
      <c r="D181" s="23" t="s">
        <v>27</v>
      </c>
      <c r="E181" s="23" t="s">
        <v>27</v>
      </c>
      <c r="F181" s="19"/>
      <c r="G181" s="20"/>
      <c r="H181" s="30"/>
      <c r="I181" s="20" t="s">
        <v>31</v>
      </c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ht="39.75" customHeight="1">
      <c r="A182" s="24" t="s">
        <v>11</v>
      </c>
      <c r="B182" s="24" t="s">
        <v>246</v>
      </c>
      <c r="C182" s="17" t="s">
        <v>977</v>
      </c>
      <c r="D182" s="21" t="s">
        <v>27</v>
      </c>
      <c r="E182" s="23"/>
      <c r="F182" s="21"/>
      <c r="G182" s="22"/>
      <c r="H182" s="23"/>
      <c r="I182" s="20" t="s">
        <v>31</v>
      </c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ht="39.75" customHeight="1">
      <c r="A183" s="24" t="s">
        <v>11</v>
      </c>
      <c r="B183" s="24" t="s">
        <v>246</v>
      </c>
      <c r="C183" s="18" t="s">
        <v>978</v>
      </c>
      <c r="D183" s="21" t="s">
        <v>27</v>
      </c>
      <c r="E183" s="23" t="s">
        <v>27</v>
      </c>
      <c r="F183" s="21"/>
      <c r="G183" s="22"/>
      <c r="H183" s="23"/>
      <c r="I183" s="23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ht="39.75" customHeight="1">
      <c r="A184" s="24" t="s">
        <v>11</v>
      </c>
      <c r="B184" s="24" t="s">
        <v>246</v>
      </c>
      <c r="C184" s="18" t="s">
        <v>979</v>
      </c>
      <c r="D184" s="21"/>
      <c r="E184" s="23" t="s">
        <v>27</v>
      </c>
      <c r="F184" s="21"/>
      <c r="G184" s="22"/>
      <c r="H184" s="23"/>
      <c r="I184" s="20" t="s">
        <v>31</v>
      </c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 ht="39.75" customHeight="1">
      <c r="A185" s="24" t="s">
        <v>11</v>
      </c>
      <c r="B185" s="24" t="s">
        <v>246</v>
      </c>
      <c r="C185" s="18" t="s">
        <v>980</v>
      </c>
      <c r="D185" s="21"/>
      <c r="E185" s="23" t="s">
        <v>27</v>
      </c>
      <c r="F185" s="21"/>
      <c r="G185" s="22"/>
      <c r="H185" s="23"/>
      <c r="I185" s="23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ht="39.75" customHeight="1">
      <c r="A186" s="17" t="s">
        <v>11</v>
      </c>
      <c r="B186" s="17" t="s">
        <v>246</v>
      </c>
      <c r="C186" s="17" t="s">
        <v>981</v>
      </c>
      <c r="D186" s="21" t="s">
        <v>27</v>
      </c>
      <c r="E186" s="23"/>
      <c r="F186" s="21"/>
      <c r="G186" s="22"/>
      <c r="H186" s="23"/>
      <c r="I186" s="20" t="s">
        <v>31</v>
      </c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ht="39.75" customHeight="1">
      <c r="A187" s="17" t="s">
        <v>11</v>
      </c>
      <c r="B187" s="17" t="s">
        <v>246</v>
      </c>
      <c r="C187" s="17" t="s">
        <v>982</v>
      </c>
      <c r="D187" s="21" t="s">
        <v>27</v>
      </c>
      <c r="E187" s="21" t="s">
        <v>27</v>
      </c>
      <c r="F187" s="21"/>
      <c r="G187" s="22"/>
      <c r="H187" s="20"/>
      <c r="I187" s="20" t="s">
        <v>31</v>
      </c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 ht="39.75" customHeight="1">
      <c r="A188" s="17" t="s">
        <v>11</v>
      </c>
      <c r="B188" s="17" t="s">
        <v>246</v>
      </c>
      <c r="C188" s="17" t="s">
        <v>983</v>
      </c>
      <c r="D188" s="19" t="s">
        <v>27</v>
      </c>
      <c r="E188" s="19" t="s">
        <v>27</v>
      </c>
      <c r="F188" s="19" t="s">
        <v>214</v>
      </c>
      <c r="G188" s="20" t="s">
        <v>984</v>
      </c>
      <c r="H188" s="23"/>
      <c r="I188" s="20" t="s">
        <v>31</v>
      </c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ht="39.75" customHeight="1">
      <c r="A189" s="17" t="s">
        <v>11</v>
      </c>
      <c r="B189" s="17" t="s">
        <v>246</v>
      </c>
      <c r="C189" s="17" t="s">
        <v>985</v>
      </c>
      <c r="D189" s="21" t="s">
        <v>27</v>
      </c>
      <c r="E189" s="23" t="s">
        <v>27</v>
      </c>
      <c r="F189" s="21"/>
      <c r="G189" s="22"/>
      <c r="H189" s="23"/>
      <c r="I189" s="20" t="s">
        <v>31</v>
      </c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 ht="39.75" customHeight="1">
      <c r="A190" s="17" t="s">
        <v>11</v>
      </c>
      <c r="B190" s="17" t="s">
        <v>246</v>
      </c>
      <c r="C190" s="17" t="s">
        <v>986</v>
      </c>
      <c r="D190" s="19" t="s">
        <v>27</v>
      </c>
      <c r="E190" s="19"/>
      <c r="F190" s="21"/>
      <c r="G190" s="22"/>
      <c r="H190" s="23"/>
      <c r="I190" s="20" t="s">
        <v>31</v>
      </c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 ht="39.75" customHeight="1">
      <c r="A191" s="24" t="s">
        <v>11</v>
      </c>
      <c r="B191" s="24" t="s">
        <v>246</v>
      </c>
      <c r="C191" s="17" t="s">
        <v>987</v>
      </c>
      <c r="D191" s="21"/>
      <c r="E191" s="23" t="s">
        <v>27</v>
      </c>
      <c r="F191" s="21"/>
      <c r="G191" s="22"/>
      <c r="H191" s="23"/>
      <c r="I191" s="20" t="s">
        <v>31</v>
      </c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 ht="39.75" customHeight="1">
      <c r="A192" s="24" t="s">
        <v>11</v>
      </c>
      <c r="B192" s="24" t="s">
        <v>246</v>
      </c>
      <c r="C192" s="17" t="s">
        <v>988</v>
      </c>
      <c r="D192" s="19" t="s">
        <v>27</v>
      </c>
      <c r="E192" s="19" t="s">
        <v>27</v>
      </c>
      <c r="F192" s="21"/>
      <c r="G192" s="22"/>
      <c r="H192" s="23"/>
      <c r="I192" s="20" t="s">
        <v>31</v>
      </c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ht="39.75" customHeight="1">
      <c r="A193" s="17" t="s">
        <v>11</v>
      </c>
      <c r="B193" s="17" t="s">
        <v>373</v>
      </c>
      <c r="C193" s="17" t="s">
        <v>989</v>
      </c>
      <c r="D193" s="21" t="s">
        <v>27</v>
      </c>
      <c r="E193" s="23"/>
      <c r="F193" s="21"/>
      <c r="G193" s="22"/>
      <c r="H193" s="20"/>
      <c r="I193" s="20" t="s">
        <v>31</v>
      </c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 ht="39.75" customHeight="1">
      <c r="A194" s="17" t="s">
        <v>11</v>
      </c>
      <c r="B194" s="17" t="s">
        <v>418</v>
      </c>
      <c r="C194" s="17" t="s">
        <v>990</v>
      </c>
      <c r="D194" s="19" t="s">
        <v>27</v>
      </c>
      <c r="E194" s="23"/>
      <c r="F194" s="21"/>
      <c r="G194" s="22"/>
      <c r="H194" s="20"/>
      <c r="I194" s="20" t="s">
        <v>31</v>
      </c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</row>
    <row r="195" ht="39.75" customHeight="1">
      <c r="A195" s="17" t="s">
        <v>11</v>
      </c>
      <c r="B195" s="17" t="s">
        <v>127</v>
      </c>
      <c r="C195" s="17" t="s">
        <v>991</v>
      </c>
      <c r="D195" s="19" t="s">
        <v>27</v>
      </c>
      <c r="E195" s="23"/>
      <c r="F195" s="21"/>
      <c r="G195" s="22"/>
      <c r="H195" s="20"/>
      <c r="I195" s="20" t="s">
        <v>31</v>
      </c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</row>
    <row r="196" ht="72.75" customHeight="1">
      <c r="A196" s="17" t="s">
        <v>14</v>
      </c>
      <c r="B196" s="17" t="s">
        <v>707</v>
      </c>
      <c r="C196" s="18" t="s">
        <v>992</v>
      </c>
      <c r="D196" s="21" t="s">
        <v>27</v>
      </c>
      <c r="E196" s="23"/>
      <c r="F196" s="21"/>
      <c r="G196" s="22"/>
      <c r="H196" s="20"/>
      <c r="I196" s="20" t="s">
        <v>993</v>
      </c>
      <c r="J196" s="48"/>
      <c r="K196" s="48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</row>
    <row r="197" ht="39.75" customHeight="1">
      <c r="A197" s="17" t="s">
        <v>14</v>
      </c>
      <c r="B197" s="17" t="s">
        <v>707</v>
      </c>
      <c r="C197" s="17" t="s">
        <v>994</v>
      </c>
      <c r="D197" s="23" t="s">
        <v>27</v>
      </c>
      <c r="E197" s="23" t="s">
        <v>27</v>
      </c>
      <c r="F197" s="21"/>
      <c r="G197" s="22"/>
      <c r="H197" s="20"/>
      <c r="I197" s="20" t="s">
        <v>31</v>
      </c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</row>
    <row r="198" ht="39.75" customHeight="1">
      <c r="A198" s="17" t="s">
        <v>14</v>
      </c>
      <c r="B198" s="17" t="s">
        <v>707</v>
      </c>
      <c r="C198" s="18" t="s">
        <v>995</v>
      </c>
      <c r="D198" s="21" t="s">
        <v>27</v>
      </c>
      <c r="E198" s="23" t="s">
        <v>27</v>
      </c>
      <c r="F198" s="21"/>
      <c r="G198" s="22"/>
      <c r="H198" s="23"/>
      <c r="I198" s="23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</row>
    <row r="199">
      <c r="A199" s="17" t="s">
        <v>14</v>
      </c>
      <c r="B199" s="17" t="s">
        <v>707</v>
      </c>
      <c r="C199" s="17" t="s">
        <v>996</v>
      </c>
      <c r="D199" s="21" t="s">
        <v>27</v>
      </c>
      <c r="E199" s="23" t="s">
        <v>27</v>
      </c>
      <c r="F199" s="23" t="s">
        <v>654</v>
      </c>
      <c r="G199" s="23" t="s">
        <v>997</v>
      </c>
      <c r="H199" s="20"/>
      <c r="I199" s="20" t="s">
        <v>998</v>
      </c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</row>
    <row r="200" ht="39.75" customHeight="1">
      <c r="A200" s="17" t="s">
        <v>14</v>
      </c>
      <c r="B200" s="17" t="s">
        <v>707</v>
      </c>
      <c r="C200" s="18" t="s">
        <v>999</v>
      </c>
      <c r="D200" s="21" t="s">
        <v>27</v>
      </c>
      <c r="E200" s="23"/>
      <c r="F200" s="21"/>
      <c r="G200" s="22"/>
      <c r="H200" s="20"/>
      <c r="I200" s="20" t="s">
        <v>31</v>
      </c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</row>
    <row r="201">
      <c r="A201" s="17" t="s">
        <v>14</v>
      </c>
      <c r="B201" s="17" t="s">
        <v>707</v>
      </c>
      <c r="C201" s="17" t="s">
        <v>1000</v>
      </c>
      <c r="D201" s="19" t="s">
        <v>27</v>
      </c>
      <c r="E201" s="23"/>
      <c r="F201" s="21"/>
      <c r="G201" s="22"/>
      <c r="H201" s="20"/>
      <c r="I201" s="20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</row>
    <row r="202" ht="39.75" customHeight="1">
      <c r="A202" s="17" t="s">
        <v>14</v>
      </c>
      <c r="B202" s="17" t="s">
        <v>835</v>
      </c>
      <c r="C202" s="18" t="s">
        <v>1001</v>
      </c>
      <c r="D202" s="21" t="s">
        <v>27</v>
      </c>
      <c r="E202" s="20" t="s">
        <v>27</v>
      </c>
      <c r="F202" s="21"/>
      <c r="G202" s="22"/>
      <c r="H202" s="23"/>
      <c r="I202" s="23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ht="39.75" customHeight="1">
      <c r="A203" s="17" t="s">
        <v>14</v>
      </c>
      <c r="B203" s="17" t="s">
        <v>835</v>
      </c>
      <c r="C203" s="18" t="s">
        <v>1002</v>
      </c>
      <c r="D203" s="21"/>
      <c r="E203" s="23" t="s">
        <v>27</v>
      </c>
      <c r="F203" s="23" t="s">
        <v>29</v>
      </c>
      <c r="G203" s="20" t="s">
        <v>1003</v>
      </c>
      <c r="H203" s="20"/>
      <c r="I203" s="20" t="s">
        <v>1004</v>
      </c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ht="39.75" customHeight="1">
      <c r="A204" s="17" t="s">
        <v>14</v>
      </c>
      <c r="B204" s="17" t="s">
        <v>835</v>
      </c>
      <c r="C204" s="18" t="s">
        <v>1005</v>
      </c>
      <c r="D204" s="21" t="s">
        <v>27</v>
      </c>
      <c r="E204" s="23" t="s">
        <v>27</v>
      </c>
      <c r="F204" s="21"/>
      <c r="G204" s="22"/>
      <c r="H204" s="23"/>
      <c r="I204" s="20" t="s">
        <v>31</v>
      </c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 ht="39.75" customHeight="1">
      <c r="A205" s="17" t="s">
        <v>14</v>
      </c>
      <c r="B205" s="17" t="s">
        <v>835</v>
      </c>
      <c r="C205" s="17" t="s">
        <v>1006</v>
      </c>
      <c r="D205" s="21"/>
      <c r="E205" s="23" t="s">
        <v>27</v>
      </c>
      <c r="F205" s="21"/>
      <c r="G205" s="22"/>
      <c r="H205" s="23"/>
      <c r="I205" s="20" t="s">
        <v>31</v>
      </c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 ht="39.75" customHeight="1">
      <c r="A206" s="17" t="s">
        <v>14</v>
      </c>
      <c r="B206" s="17" t="s">
        <v>435</v>
      </c>
      <c r="C206" s="17" t="s">
        <v>1007</v>
      </c>
      <c r="D206" s="19" t="s">
        <v>27</v>
      </c>
      <c r="E206" s="20" t="s">
        <v>27</v>
      </c>
      <c r="F206" s="21"/>
      <c r="G206" s="22"/>
      <c r="H206" s="20"/>
      <c r="I206" s="20" t="s">
        <v>31</v>
      </c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ht="39.75" customHeight="1">
      <c r="A207" s="24" t="s">
        <v>14</v>
      </c>
      <c r="B207" s="17" t="s">
        <v>435</v>
      </c>
      <c r="C207" s="18" t="s">
        <v>1008</v>
      </c>
      <c r="D207" s="21" t="s">
        <v>27</v>
      </c>
      <c r="E207" s="23" t="s">
        <v>27</v>
      </c>
      <c r="F207" s="21"/>
      <c r="G207" s="22"/>
      <c r="H207" s="23"/>
      <c r="I207" s="23" t="s">
        <v>1009</v>
      </c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ht="39.75" customHeight="1">
      <c r="A208" s="24" t="s">
        <v>15</v>
      </c>
      <c r="B208" s="24" t="s">
        <v>195</v>
      </c>
      <c r="C208" s="17" t="s">
        <v>1010</v>
      </c>
      <c r="D208" s="19" t="s">
        <v>27</v>
      </c>
      <c r="E208" s="20" t="s">
        <v>27</v>
      </c>
      <c r="F208" s="21"/>
      <c r="G208" s="22"/>
      <c r="H208" s="20"/>
      <c r="I208" s="20" t="s">
        <v>31</v>
      </c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 ht="39.75" customHeight="1">
      <c r="A209" s="24" t="s">
        <v>15</v>
      </c>
      <c r="B209" s="24" t="s">
        <v>195</v>
      </c>
      <c r="C209" s="17" t="s">
        <v>1011</v>
      </c>
      <c r="D209" s="19" t="s">
        <v>27</v>
      </c>
      <c r="E209" s="20" t="s">
        <v>27</v>
      </c>
      <c r="F209" s="21"/>
      <c r="G209" s="22"/>
      <c r="H209" s="23"/>
      <c r="I209" s="20" t="s">
        <v>31</v>
      </c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ht="39.75" customHeight="1">
      <c r="A210" s="24" t="s">
        <v>15</v>
      </c>
      <c r="B210" s="24" t="s">
        <v>195</v>
      </c>
      <c r="C210" s="17" t="s">
        <v>1012</v>
      </c>
      <c r="D210" s="19" t="s">
        <v>27</v>
      </c>
      <c r="E210" s="20" t="s">
        <v>27</v>
      </c>
      <c r="F210" s="21"/>
      <c r="G210" s="22"/>
      <c r="H210" s="23"/>
      <c r="I210" s="20" t="s">
        <v>31</v>
      </c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ht="39.75" customHeight="1">
      <c r="A211" s="24" t="s">
        <v>15</v>
      </c>
      <c r="B211" s="24" t="s">
        <v>195</v>
      </c>
      <c r="C211" s="17" t="s">
        <v>1013</v>
      </c>
      <c r="D211" s="19" t="s">
        <v>27</v>
      </c>
      <c r="E211" s="20" t="s">
        <v>27</v>
      </c>
      <c r="F211" s="21"/>
      <c r="G211" s="22"/>
      <c r="H211" s="20"/>
      <c r="I211" s="20" t="s">
        <v>31</v>
      </c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ht="39.75" customHeight="1">
      <c r="A212" s="24" t="s">
        <v>15</v>
      </c>
      <c r="B212" s="24" t="s">
        <v>195</v>
      </c>
      <c r="C212" s="17" t="s">
        <v>1014</v>
      </c>
      <c r="D212" s="19" t="s">
        <v>27</v>
      </c>
      <c r="E212" s="20" t="s">
        <v>27</v>
      </c>
      <c r="F212" s="21"/>
      <c r="G212" s="22"/>
      <c r="H212" s="20"/>
      <c r="I212" s="20" t="s">
        <v>31</v>
      </c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 ht="39.75" customHeight="1">
      <c r="A213" s="24" t="s">
        <v>15</v>
      </c>
      <c r="B213" s="24" t="s">
        <v>195</v>
      </c>
      <c r="C213" s="17" t="s">
        <v>1015</v>
      </c>
      <c r="D213" s="19" t="s">
        <v>27</v>
      </c>
      <c r="E213" s="20" t="s">
        <v>27</v>
      </c>
      <c r="F213" s="21"/>
      <c r="G213" s="22"/>
      <c r="H213" s="23"/>
      <c r="I213" s="20" t="s">
        <v>31</v>
      </c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ht="39.75" customHeight="1">
      <c r="A214" s="24" t="s">
        <v>15</v>
      </c>
      <c r="B214" s="24" t="s">
        <v>195</v>
      </c>
      <c r="C214" s="17" t="s">
        <v>1016</v>
      </c>
      <c r="D214" s="19" t="s">
        <v>27</v>
      </c>
      <c r="E214" s="20" t="s">
        <v>27</v>
      </c>
      <c r="F214" s="21"/>
      <c r="G214" s="22"/>
      <c r="H214" s="23"/>
      <c r="I214" s="20" t="s">
        <v>31</v>
      </c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ht="39.75" customHeight="1">
      <c r="A215" s="24" t="s">
        <v>15</v>
      </c>
      <c r="B215" s="24" t="s">
        <v>195</v>
      </c>
      <c r="C215" s="17" t="s">
        <v>1017</v>
      </c>
      <c r="D215" s="19" t="s">
        <v>27</v>
      </c>
      <c r="E215" s="20" t="s">
        <v>27</v>
      </c>
      <c r="F215" s="19"/>
      <c r="G215" s="20"/>
      <c r="H215" s="20"/>
      <c r="I215" s="20" t="s">
        <v>31</v>
      </c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 ht="39.75" hidden="1" customHeight="1">
      <c r="A216" s="24" t="s">
        <v>15</v>
      </c>
      <c r="B216" s="24" t="s">
        <v>195</v>
      </c>
      <c r="C216" s="17" t="s">
        <v>1018</v>
      </c>
      <c r="D216" s="19" t="s">
        <v>27</v>
      </c>
      <c r="E216" s="20" t="s">
        <v>27</v>
      </c>
      <c r="F216" s="21"/>
      <c r="G216" s="22"/>
      <c r="H216" s="20"/>
      <c r="I216" s="20" t="s">
        <v>31</v>
      </c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 ht="39.75" customHeight="1">
      <c r="A217" s="24" t="s">
        <v>15</v>
      </c>
      <c r="B217" s="24" t="s">
        <v>195</v>
      </c>
      <c r="C217" s="17" t="s">
        <v>1019</v>
      </c>
      <c r="D217" s="19" t="s">
        <v>27</v>
      </c>
      <c r="E217" s="20" t="s">
        <v>27</v>
      </c>
      <c r="F217" s="21"/>
      <c r="G217" s="22"/>
      <c r="H217" s="20"/>
      <c r="I217" s="20" t="s">
        <v>31</v>
      </c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 ht="39.75" customHeight="1">
      <c r="A218" s="24" t="s">
        <v>15</v>
      </c>
      <c r="B218" s="24" t="s">
        <v>195</v>
      </c>
      <c r="C218" s="17" t="s">
        <v>1020</v>
      </c>
      <c r="D218" s="19" t="s">
        <v>27</v>
      </c>
      <c r="E218" s="20" t="s">
        <v>27</v>
      </c>
      <c r="F218" s="20" t="s">
        <v>1021</v>
      </c>
      <c r="G218" s="22"/>
      <c r="H218" s="23"/>
      <c r="I218" s="23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ht="39.75" customHeight="1">
      <c r="A219" s="24" t="s">
        <v>15</v>
      </c>
      <c r="B219" s="24" t="s">
        <v>195</v>
      </c>
      <c r="C219" s="17" t="s">
        <v>1022</v>
      </c>
      <c r="D219" s="19" t="s">
        <v>27</v>
      </c>
      <c r="E219" s="20" t="s">
        <v>27</v>
      </c>
      <c r="F219" s="21"/>
      <c r="G219" s="22"/>
      <c r="H219" s="20"/>
      <c r="I219" s="20" t="s">
        <v>31</v>
      </c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 ht="39.75" customHeight="1">
      <c r="A220" s="24" t="s">
        <v>15</v>
      </c>
      <c r="B220" s="24" t="s">
        <v>195</v>
      </c>
      <c r="C220" s="17" t="s">
        <v>1023</v>
      </c>
      <c r="D220" s="19" t="s">
        <v>27</v>
      </c>
      <c r="E220" s="20" t="s">
        <v>27</v>
      </c>
      <c r="F220" s="21"/>
      <c r="G220" s="22"/>
      <c r="H220" s="20"/>
      <c r="I220" s="20" t="s">
        <v>31</v>
      </c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 ht="39.75" customHeight="1">
      <c r="A221" s="17" t="s">
        <v>15</v>
      </c>
      <c r="B221" s="17" t="s">
        <v>195</v>
      </c>
      <c r="C221" s="49" t="s">
        <v>1024</v>
      </c>
      <c r="D221" s="19" t="s">
        <v>27</v>
      </c>
      <c r="E221" s="20" t="s">
        <v>27</v>
      </c>
      <c r="F221" s="21"/>
      <c r="G221" s="22"/>
      <c r="H221" s="20"/>
      <c r="I221" s="20" t="s">
        <v>31</v>
      </c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</row>
    <row r="222" ht="39.75" hidden="1" customHeight="1">
      <c r="A222" s="24" t="s">
        <v>15</v>
      </c>
      <c r="B222" s="24" t="s">
        <v>195</v>
      </c>
      <c r="C222" s="17" t="s">
        <v>1025</v>
      </c>
      <c r="D222" s="19" t="s">
        <v>27</v>
      </c>
      <c r="E222" s="20" t="s">
        <v>27</v>
      </c>
      <c r="F222" s="21"/>
      <c r="G222" s="22"/>
      <c r="H222" s="20"/>
      <c r="I222" s="20" t="s">
        <v>31</v>
      </c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</row>
    <row r="223" ht="39.75" customHeight="1">
      <c r="A223" s="24" t="s">
        <v>15</v>
      </c>
      <c r="B223" s="24" t="s">
        <v>195</v>
      </c>
      <c r="C223" s="17" t="s">
        <v>1026</v>
      </c>
      <c r="D223" s="19" t="s">
        <v>27</v>
      </c>
      <c r="E223" s="20" t="s">
        <v>27</v>
      </c>
      <c r="F223" s="21"/>
      <c r="G223" s="22"/>
      <c r="H223" s="23"/>
      <c r="I223" s="20" t="s">
        <v>31</v>
      </c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ht="39.75" customHeight="1">
      <c r="A224" s="24" t="s">
        <v>15</v>
      </c>
      <c r="B224" s="24" t="s">
        <v>195</v>
      </c>
      <c r="C224" s="17" t="s">
        <v>1027</v>
      </c>
      <c r="D224" s="19" t="s">
        <v>27</v>
      </c>
      <c r="E224" s="20" t="s">
        <v>27</v>
      </c>
      <c r="F224" s="21"/>
      <c r="G224" s="22"/>
      <c r="H224" s="23"/>
      <c r="I224" s="20" t="s">
        <v>31</v>
      </c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ht="39.75" customHeight="1">
      <c r="A225" s="24" t="s">
        <v>15</v>
      </c>
      <c r="B225" s="24" t="s">
        <v>195</v>
      </c>
      <c r="C225" s="17" t="s">
        <v>1028</v>
      </c>
      <c r="D225" s="19" t="s">
        <v>27</v>
      </c>
      <c r="E225" s="20" t="s">
        <v>27</v>
      </c>
      <c r="F225" s="21"/>
      <c r="G225" s="22"/>
      <c r="H225" s="20"/>
      <c r="I225" s="20" t="s">
        <v>31</v>
      </c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ht="39.75" customHeight="1">
      <c r="A226" s="24" t="s">
        <v>15</v>
      </c>
      <c r="B226" s="24" t="s">
        <v>195</v>
      </c>
      <c r="C226" s="17" t="s">
        <v>1029</v>
      </c>
      <c r="D226" s="19" t="s">
        <v>27</v>
      </c>
      <c r="E226" s="20" t="s">
        <v>27</v>
      </c>
      <c r="F226" s="21"/>
      <c r="G226" s="22"/>
      <c r="H226" s="23"/>
      <c r="I226" s="20" t="s">
        <v>31</v>
      </c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ht="39.75" customHeight="1">
      <c r="A227" s="24" t="s">
        <v>15</v>
      </c>
      <c r="B227" s="24" t="s">
        <v>195</v>
      </c>
      <c r="C227" s="17" t="s">
        <v>1030</v>
      </c>
      <c r="D227" s="19" t="s">
        <v>27</v>
      </c>
      <c r="E227" s="20" t="s">
        <v>27</v>
      </c>
      <c r="F227" s="21"/>
      <c r="G227" s="22"/>
      <c r="H227" s="23"/>
      <c r="I227" s="20" t="s">
        <v>31</v>
      </c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ht="39.75" customHeight="1">
      <c r="A228" s="24" t="s">
        <v>15</v>
      </c>
      <c r="B228" s="18" t="s">
        <v>195</v>
      </c>
      <c r="C228" s="17" t="s">
        <v>1031</v>
      </c>
      <c r="D228" s="19" t="s">
        <v>27</v>
      </c>
      <c r="E228" s="20" t="s">
        <v>27</v>
      </c>
      <c r="F228" s="21"/>
      <c r="G228" s="22"/>
      <c r="H228" s="23"/>
      <c r="I228" s="20" t="s">
        <v>31</v>
      </c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ht="39.75" customHeight="1">
      <c r="A229" s="24" t="s">
        <v>15</v>
      </c>
      <c r="B229" s="18" t="s">
        <v>195</v>
      </c>
      <c r="C229" s="17" t="s">
        <v>1032</v>
      </c>
      <c r="D229" s="19" t="s">
        <v>27</v>
      </c>
      <c r="E229" s="19" t="s">
        <v>27</v>
      </c>
      <c r="F229" s="21"/>
      <c r="G229" s="22"/>
      <c r="H229" s="23"/>
      <c r="I229" s="20" t="s">
        <v>31</v>
      </c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ht="39.75" customHeight="1">
      <c r="A230" s="24" t="s">
        <v>15</v>
      </c>
      <c r="B230" s="18" t="s">
        <v>195</v>
      </c>
      <c r="C230" s="17" t="s">
        <v>1033</v>
      </c>
      <c r="D230" s="19" t="s">
        <v>27</v>
      </c>
      <c r="E230" s="20" t="s">
        <v>27</v>
      </c>
      <c r="F230" s="21"/>
      <c r="G230" s="22"/>
      <c r="H230" s="23"/>
      <c r="I230" s="23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ht="39.75" customHeight="1">
      <c r="A231" s="24" t="s">
        <v>15</v>
      </c>
      <c r="B231" s="18" t="s">
        <v>195</v>
      </c>
      <c r="C231" s="17" t="s">
        <v>1034</v>
      </c>
      <c r="D231" s="19" t="s">
        <v>27</v>
      </c>
      <c r="E231" s="20" t="s">
        <v>27</v>
      </c>
      <c r="F231" s="21"/>
      <c r="G231" s="22"/>
      <c r="H231" s="20"/>
      <c r="I231" s="20" t="s">
        <v>31</v>
      </c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</row>
    <row r="232" ht="39.75" customHeight="1">
      <c r="A232" s="24" t="s">
        <v>15</v>
      </c>
      <c r="B232" s="18" t="s">
        <v>195</v>
      </c>
      <c r="C232" s="17" t="s">
        <v>1035</v>
      </c>
      <c r="D232" s="19" t="s">
        <v>27</v>
      </c>
      <c r="E232" s="19" t="s">
        <v>27</v>
      </c>
      <c r="F232" s="21"/>
      <c r="G232" s="22"/>
      <c r="H232" s="23"/>
      <c r="I232" s="20" t="s">
        <v>31</v>
      </c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ht="39.75" customHeight="1">
      <c r="A233" s="24" t="s">
        <v>15</v>
      </c>
      <c r="B233" s="18" t="s">
        <v>195</v>
      </c>
      <c r="C233" s="17" t="s">
        <v>1036</v>
      </c>
      <c r="D233" s="19" t="s">
        <v>27</v>
      </c>
      <c r="E233" s="20" t="s">
        <v>1037</v>
      </c>
      <c r="F233" s="21"/>
      <c r="G233" s="22"/>
      <c r="H233" s="23"/>
      <c r="I233" s="20" t="s">
        <v>31</v>
      </c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</row>
    <row r="234" ht="39.75" customHeight="1">
      <c r="A234" s="24" t="s">
        <v>15</v>
      </c>
      <c r="B234" s="18" t="s">
        <v>195</v>
      </c>
      <c r="C234" s="17" t="s">
        <v>1038</v>
      </c>
      <c r="D234" s="19" t="s">
        <v>27</v>
      </c>
      <c r="E234" s="19" t="s">
        <v>27</v>
      </c>
      <c r="F234" s="21"/>
      <c r="G234" s="22"/>
      <c r="H234" s="23"/>
      <c r="I234" s="20" t="s">
        <v>31</v>
      </c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ht="39.75" customHeight="1">
      <c r="A235" s="24" t="s">
        <v>15</v>
      </c>
      <c r="B235" s="18" t="s">
        <v>195</v>
      </c>
      <c r="C235" s="17" t="s">
        <v>1039</v>
      </c>
      <c r="D235" s="19" t="s">
        <v>27</v>
      </c>
      <c r="E235" s="19" t="s">
        <v>27</v>
      </c>
      <c r="F235" s="21"/>
      <c r="G235" s="22"/>
      <c r="H235" s="23"/>
      <c r="I235" s="20" t="s">
        <v>31</v>
      </c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</row>
    <row r="236" ht="39.75" customHeight="1">
      <c r="A236" s="17" t="s">
        <v>15</v>
      </c>
      <c r="B236" s="17" t="s">
        <v>195</v>
      </c>
      <c r="C236" s="17" t="s">
        <v>1040</v>
      </c>
      <c r="D236" s="19" t="s">
        <v>27</v>
      </c>
      <c r="E236" s="21"/>
      <c r="F236" s="21"/>
      <c r="G236" s="22"/>
      <c r="H236" s="23"/>
      <c r="I236" s="23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ht="39.75" customHeight="1">
      <c r="A237" s="17" t="s">
        <v>15</v>
      </c>
      <c r="B237" s="17" t="s">
        <v>195</v>
      </c>
      <c r="C237" s="17" t="s">
        <v>1041</v>
      </c>
      <c r="D237" s="19" t="s">
        <v>27</v>
      </c>
      <c r="E237" s="21"/>
      <c r="F237" s="21"/>
      <c r="G237" s="22"/>
      <c r="H237" s="23"/>
      <c r="I237" s="23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ht="39.75" customHeight="1">
      <c r="A238" s="17" t="s">
        <v>15</v>
      </c>
      <c r="B238" s="17" t="s">
        <v>195</v>
      </c>
      <c r="C238" s="17" t="s">
        <v>1042</v>
      </c>
      <c r="D238" s="19" t="s">
        <v>27</v>
      </c>
      <c r="E238" s="19" t="s">
        <v>27</v>
      </c>
      <c r="F238" s="21"/>
      <c r="G238" s="22"/>
      <c r="H238" s="23"/>
      <c r="I238" s="20" t="s">
        <v>31</v>
      </c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ht="39.75" customHeight="1">
      <c r="A239" s="17" t="s">
        <v>15</v>
      </c>
      <c r="B239" s="17" t="s">
        <v>195</v>
      </c>
      <c r="C239" s="17" t="s">
        <v>1043</v>
      </c>
      <c r="D239" s="19" t="s">
        <v>27</v>
      </c>
      <c r="E239" s="21"/>
      <c r="F239" s="21"/>
      <c r="G239" s="22"/>
      <c r="H239" s="23"/>
      <c r="I239" s="23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ht="39.75" customHeight="1">
      <c r="A240" s="17" t="s">
        <v>15</v>
      </c>
      <c r="B240" s="17" t="s">
        <v>195</v>
      </c>
      <c r="C240" s="17" t="s">
        <v>1044</v>
      </c>
      <c r="D240" s="19" t="s">
        <v>27</v>
      </c>
      <c r="E240" s="21"/>
      <c r="F240" s="21"/>
      <c r="G240" s="22"/>
      <c r="H240" s="23"/>
      <c r="I240" s="23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ht="39.75" customHeight="1">
      <c r="A241" s="17" t="s">
        <v>15</v>
      </c>
      <c r="B241" s="17" t="s">
        <v>195</v>
      </c>
      <c r="C241" s="17" t="s">
        <v>1045</v>
      </c>
      <c r="D241" s="19" t="s">
        <v>27</v>
      </c>
      <c r="E241" s="19"/>
      <c r="F241" s="21"/>
      <c r="G241" s="22"/>
      <c r="H241" s="20"/>
      <c r="I241" s="20" t="s">
        <v>31</v>
      </c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</row>
    <row r="242" ht="81.75" customHeight="1">
      <c r="A242" s="24" t="s">
        <v>15</v>
      </c>
      <c r="B242" s="18" t="s">
        <v>453</v>
      </c>
      <c r="C242" s="17" t="s">
        <v>1046</v>
      </c>
      <c r="D242" s="19" t="s">
        <v>27</v>
      </c>
      <c r="E242" s="19" t="s">
        <v>27</v>
      </c>
      <c r="F242" s="50" t="s">
        <v>225</v>
      </c>
      <c r="G242" s="40" t="s">
        <v>1047</v>
      </c>
      <c r="H242" s="20"/>
      <c r="I242" s="20" t="s">
        <v>31</v>
      </c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</row>
    <row r="243" ht="39.75" customHeight="1">
      <c r="A243" s="24" t="s">
        <v>15</v>
      </c>
      <c r="B243" s="18" t="s">
        <v>453</v>
      </c>
      <c r="C243" s="17" t="s">
        <v>1048</v>
      </c>
      <c r="D243" s="19" t="s">
        <v>27</v>
      </c>
      <c r="E243" s="19" t="s">
        <v>27</v>
      </c>
      <c r="F243" s="19" t="s">
        <v>29</v>
      </c>
      <c r="G243" s="20" t="s">
        <v>1049</v>
      </c>
      <c r="H243" s="23"/>
      <c r="I243" s="20" t="s">
        <v>31</v>
      </c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ht="39.75" customHeight="1">
      <c r="A244" s="24" t="s">
        <v>15</v>
      </c>
      <c r="B244" s="18" t="s">
        <v>453</v>
      </c>
      <c r="C244" s="17" t="s">
        <v>1050</v>
      </c>
      <c r="D244" s="19" t="s">
        <v>27</v>
      </c>
      <c r="E244" s="23"/>
      <c r="F244" s="21"/>
      <c r="G244" s="22"/>
      <c r="H244" s="23"/>
      <c r="I244" s="23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ht="39.75" customHeight="1">
      <c r="A245" s="24" t="s">
        <v>15</v>
      </c>
      <c r="B245" s="18" t="s">
        <v>453</v>
      </c>
      <c r="C245" s="17" t="s">
        <v>1051</v>
      </c>
      <c r="D245" s="19" t="s">
        <v>27</v>
      </c>
      <c r="E245" s="20" t="s">
        <v>27</v>
      </c>
      <c r="F245" s="21"/>
      <c r="G245" s="22"/>
      <c r="H245" s="20"/>
      <c r="I245" s="20" t="s">
        <v>31</v>
      </c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</row>
    <row r="246" ht="93.0" customHeight="1">
      <c r="A246" s="24" t="s">
        <v>15</v>
      </c>
      <c r="B246" s="18" t="s">
        <v>453</v>
      </c>
      <c r="C246" s="17" t="s">
        <v>1052</v>
      </c>
      <c r="D246" s="19" t="s">
        <v>27</v>
      </c>
      <c r="E246" s="20" t="s">
        <v>27</v>
      </c>
      <c r="F246" s="20" t="s">
        <v>37</v>
      </c>
      <c r="G246" s="20" t="s">
        <v>227</v>
      </c>
      <c r="H246" s="20" t="s">
        <v>1053</v>
      </c>
      <c r="I246" s="20" t="s">
        <v>31</v>
      </c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</row>
    <row r="247" ht="39.75" customHeight="1">
      <c r="A247" s="24" t="s">
        <v>15</v>
      </c>
      <c r="B247" s="18" t="s">
        <v>453</v>
      </c>
      <c r="C247" s="17" t="s">
        <v>1054</v>
      </c>
      <c r="D247" s="19" t="s">
        <v>27</v>
      </c>
      <c r="E247" s="20"/>
      <c r="F247" s="21"/>
      <c r="G247" s="22"/>
      <c r="H247" s="20" t="s">
        <v>1055</v>
      </c>
      <c r="I247" s="20" t="s">
        <v>31</v>
      </c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</row>
    <row r="248" ht="39.75" customHeight="1">
      <c r="A248" s="24" t="s">
        <v>15</v>
      </c>
      <c r="B248" s="18" t="s">
        <v>453</v>
      </c>
      <c r="C248" s="17" t="s">
        <v>1056</v>
      </c>
      <c r="D248" s="19" t="s">
        <v>27</v>
      </c>
      <c r="E248" s="20" t="s">
        <v>27</v>
      </c>
      <c r="F248" s="21"/>
      <c r="G248" s="22"/>
      <c r="H248" s="20"/>
      <c r="I248" s="20" t="s">
        <v>31</v>
      </c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</row>
    <row r="249">
      <c r="A249" s="24" t="s">
        <v>15</v>
      </c>
      <c r="B249" s="18" t="s">
        <v>453</v>
      </c>
      <c r="C249" s="17" t="s">
        <v>1057</v>
      </c>
      <c r="D249" s="20" t="s">
        <v>27</v>
      </c>
      <c r="E249" s="20" t="s">
        <v>27</v>
      </c>
      <c r="F249" s="20" t="s">
        <v>29</v>
      </c>
      <c r="G249" s="20" t="s">
        <v>1058</v>
      </c>
      <c r="H249" s="20"/>
      <c r="I249" s="20" t="s">
        <v>31</v>
      </c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ht="39.75" customHeight="1">
      <c r="A250" s="24" t="s">
        <v>15</v>
      </c>
      <c r="B250" s="18" t="s">
        <v>453</v>
      </c>
      <c r="C250" s="17" t="s">
        <v>1059</v>
      </c>
      <c r="D250" s="20" t="s">
        <v>27</v>
      </c>
      <c r="E250" s="20"/>
      <c r="F250" s="21"/>
      <c r="G250" s="22"/>
      <c r="H250" s="20"/>
      <c r="I250" s="20" t="s">
        <v>31</v>
      </c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</row>
    <row r="251" ht="39.75" customHeight="1">
      <c r="A251" s="24" t="s">
        <v>15</v>
      </c>
      <c r="B251" s="18" t="s">
        <v>453</v>
      </c>
      <c r="C251" s="17" t="s">
        <v>1060</v>
      </c>
      <c r="D251" s="19" t="s">
        <v>27</v>
      </c>
      <c r="E251" s="23"/>
      <c r="F251" s="21"/>
      <c r="G251" s="22"/>
      <c r="H251" s="23"/>
      <c r="I251" s="20" t="s">
        <v>31</v>
      </c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ht="39.75" customHeight="1">
      <c r="A252" s="24" t="s">
        <v>15</v>
      </c>
      <c r="B252" s="18" t="s">
        <v>453</v>
      </c>
      <c r="C252" s="17" t="s">
        <v>1061</v>
      </c>
      <c r="D252" s="20" t="s">
        <v>27</v>
      </c>
      <c r="E252" s="20" t="s">
        <v>27</v>
      </c>
      <c r="F252" s="21"/>
      <c r="G252" s="22"/>
      <c r="H252" s="23"/>
      <c r="I252" s="23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ht="39.75" customHeight="1">
      <c r="A253" s="24" t="s">
        <v>15</v>
      </c>
      <c r="B253" s="18" t="s">
        <v>453</v>
      </c>
      <c r="C253" s="17" t="s">
        <v>1062</v>
      </c>
      <c r="D253" s="20" t="s">
        <v>27</v>
      </c>
      <c r="E253" s="20" t="s">
        <v>27</v>
      </c>
      <c r="F253" s="21"/>
      <c r="G253" s="22"/>
      <c r="H253" s="23"/>
      <c r="I253" s="20" t="s">
        <v>31</v>
      </c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</row>
    <row r="254" ht="39.75" customHeight="1">
      <c r="A254" s="24" t="s">
        <v>15</v>
      </c>
      <c r="B254" s="18" t="s">
        <v>453</v>
      </c>
      <c r="C254" s="17" t="s">
        <v>1063</v>
      </c>
      <c r="D254" s="20" t="s">
        <v>27</v>
      </c>
      <c r="E254" s="23"/>
      <c r="F254" s="21"/>
      <c r="G254" s="22"/>
      <c r="H254" s="23"/>
      <c r="I254" s="20" t="s">
        <v>31</v>
      </c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ht="39.75" customHeight="1">
      <c r="A255" s="24" t="s">
        <v>15</v>
      </c>
      <c r="B255" s="18" t="s">
        <v>453</v>
      </c>
      <c r="C255" s="17" t="s">
        <v>1064</v>
      </c>
      <c r="D255" s="19" t="s">
        <v>27</v>
      </c>
      <c r="E255" s="19" t="s">
        <v>27</v>
      </c>
      <c r="F255" s="20"/>
      <c r="G255" s="20"/>
      <c r="H255" s="20"/>
      <c r="I255" s="20" t="s">
        <v>31</v>
      </c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</row>
    <row r="256">
      <c r="A256" s="24" t="s">
        <v>15</v>
      </c>
      <c r="B256" s="18" t="s">
        <v>453</v>
      </c>
      <c r="C256" s="17" t="s">
        <v>1065</v>
      </c>
      <c r="D256" s="19" t="s">
        <v>27</v>
      </c>
      <c r="E256" s="20" t="s">
        <v>27</v>
      </c>
      <c r="F256" s="20" t="s">
        <v>29</v>
      </c>
      <c r="G256" s="20" t="s">
        <v>1066</v>
      </c>
      <c r="H256" s="20"/>
      <c r="I256" s="20" t="s">
        <v>31</v>
      </c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</row>
    <row r="257" ht="39.75" customHeight="1">
      <c r="A257" s="24" t="s">
        <v>15</v>
      </c>
      <c r="B257" s="18" t="s">
        <v>453</v>
      </c>
      <c r="C257" s="17" t="s">
        <v>1067</v>
      </c>
      <c r="D257" s="19" t="s">
        <v>27</v>
      </c>
      <c r="E257" s="19" t="s">
        <v>27</v>
      </c>
      <c r="F257" s="21"/>
      <c r="G257" s="22"/>
      <c r="H257" s="23"/>
      <c r="I257" s="20" t="s">
        <v>31</v>
      </c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>
      <c r="A258" s="24" t="s">
        <v>15</v>
      </c>
      <c r="B258" s="18" t="s">
        <v>453</v>
      </c>
      <c r="C258" s="17" t="s">
        <v>1068</v>
      </c>
      <c r="D258" s="19" t="s">
        <v>27</v>
      </c>
      <c r="E258" s="20" t="s">
        <v>27</v>
      </c>
      <c r="F258" s="19" t="s">
        <v>29</v>
      </c>
      <c r="G258" s="20" t="s">
        <v>1069</v>
      </c>
      <c r="H258" s="20" t="s">
        <v>1070</v>
      </c>
      <c r="I258" s="20" t="s">
        <v>902</v>
      </c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</row>
    <row r="259" ht="41.25" customHeight="1">
      <c r="A259" s="24" t="s">
        <v>15</v>
      </c>
      <c r="B259" s="18" t="s">
        <v>453</v>
      </c>
      <c r="C259" s="17" t="s">
        <v>1071</v>
      </c>
      <c r="D259" s="19" t="s">
        <v>27</v>
      </c>
      <c r="E259" s="23"/>
      <c r="F259" s="21"/>
      <c r="G259" s="22"/>
      <c r="H259" s="20" t="s">
        <v>1072</v>
      </c>
      <c r="I259" s="20" t="s">
        <v>31</v>
      </c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</row>
    <row r="260" ht="39.75" customHeight="1">
      <c r="A260" s="24" t="s">
        <v>15</v>
      </c>
      <c r="B260" s="18" t="s">
        <v>453</v>
      </c>
      <c r="C260" s="17" t="s">
        <v>1073</v>
      </c>
      <c r="D260" s="19" t="s">
        <v>27</v>
      </c>
      <c r="E260" s="19" t="s">
        <v>27</v>
      </c>
      <c r="F260" s="20" t="s">
        <v>37</v>
      </c>
      <c r="G260" s="20" t="s">
        <v>1074</v>
      </c>
      <c r="H260" s="20"/>
      <c r="I260" s="20" t="s">
        <v>31</v>
      </c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</row>
    <row r="261" ht="39.75" customHeight="1">
      <c r="A261" s="24" t="s">
        <v>15</v>
      </c>
      <c r="B261" s="18" t="s">
        <v>453</v>
      </c>
      <c r="C261" s="17" t="s">
        <v>1075</v>
      </c>
      <c r="D261" s="19" t="s">
        <v>27</v>
      </c>
      <c r="E261" s="19" t="s">
        <v>27</v>
      </c>
      <c r="F261" s="20" t="s">
        <v>214</v>
      </c>
      <c r="G261" s="20" t="s">
        <v>1069</v>
      </c>
      <c r="H261" s="20"/>
      <c r="I261" s="20" t="s">
        <v>31</v>
      </c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</row>
    <row r="262" ht="39.75" customHeight="1">
      <c r="A262" s="24" t="s">
        <v>15</v>
      </c>
      <c r="B262" s="24" t="s">
        <v>453</v>
      </c>
      <c r="C262" s="17" t="s">
        <v>1076</v>
      </c>
      <c r="D262" s="19" t="s">
        <v>27</v>
      </c>
      <c r="E262" s="23"/>
      <c r="F262" s="25"/>
      <c r="G262" s="30"/>
      <c r="H262" s="23"/>
      <c r="I262" s="23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ht="39.75" customHeight="1">
      <c r="A263" s="24" t="s">
        <v>15</v>
      </c>
      <c r="B263" s="17" t="s">
        <v>453</v>
      </c>
      <c r="C263" s="17" t="s">
        <v>1077</v>
      </c>
      <c r="D263" s="19" t="s">
        <v>27</v>
      </c>
      <c r="E263" s="20" t="s">
        <v>27</v>
      </c>
      <c r="F263" s="21"/>
      <c r="G263" s="22"/>
      <c r="H263" s="20"/>
      <c r="I263" s="20" t="s">
        <v>31</v>
      </c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</row>
    <row r="264" ht="39.75" customHeight="1">
      <c r="A264" s="24" t="s">
        <v>15</v>
      </c>
      <c r="B264" s="24" t="s">
        <v>453</v>
      </c>
      <c r="C264" s="17" t="s">
        <v>1078</v>
      </c>
      <c r="D264" s="19" t="s">
        <v>27</v>
      </c>
      <c r="E264" s="20" t="s">
        <v>27</v>
      </c>
      <c r="F264" s="21"/>
      <c r="G264" s="22"/>
      <c r="H264" s="23"/>
      <c r="I264" s="20" t="s">
        <v>31</v>
      </c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ht="39.75" customHeight="1">
      <c r="A265" s="24" t="s">
        <v>15</v>
      </c>
      <c r="B265" s="24" t="s">
        <v>453</v>
      </c>
      <c r="C265" s="17" t="s">
        <v>1079</v>
      </c>
      <c r="D265" s="19" t="s">
        <v>27</v>
      </c>
      <c r="E265" s="23"/>
      <c r="F265" s="25"/>
      <c r="G265" s="30"/>
      <c r="H265" s="23"/>
      <c r="I265" s="20" t="s">
        <v>31</v>
      </c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</row>
    <row r="266" ht="39.75" customHeight="1">
      <c r="A266" s="24" t="s">
        <v>15</v>
      </c>
      <c r="B266" s="18" t="s">
        <v>453</v>
      </c>
      <c r="C266" s="17" t="s">
        <v>1080</v>
      </c>
      <c r="D266" s="19" t="s">
        <v>27</v>
      </c>
      <c r="E266" s="20" t="s">
        <v>27</v>
      </c>
      <c r="F266" s="30"/>
      <c r="G266" s="30"/>
      <c r="H266" s="20"/>
      <c r="I266" s="20" t="s">
        <v>31</v>
      </c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</row>
    <row r="267" ht="39.75" customHeight="1">
      <c r="A267" s="24" t="s">
        <v>15</v>
      </c>
      <c r="B267" s="18" t="s">
        <v>453</v>
      </c>
      <c r="C267" s="17" t="s">
        <v>1081</v>
      </c>
      <c r="D267" s="19" t="s">
        <v>27</v>
      </c>
      <c r="E267" s="20" t="s">
        <v>27</v>
      </c>
      <c r="F267" s="21"/>
      <c r="G267" s="22"/>
      <c r="H267" s="23"/>
      <c r="I267" s="20" t="s">
        <v>31</v>
      </c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</row>
    <row r="268" ht="39.75" customHeight="1">
      <c r="A268" s="24" t="s">
        <v>15</v>
      </c>
      <c r="B268" s="18" t="s">
        <v>453</v>
      </c>
      <c r="C268" s="17" t="s">
        <v>1082</v>
      </c>
      <c r="D268" s="19" t="s">
        <v>27</v>
      </c>
      <c r="E268" s="23"/>
      <c r="F268" s="21"/>
      <c r="G268" s="22"/>
      <c r="H268" s="20"/>
      <c r="I268" s="2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ht="39.75" customHeight="1">
      <c r="A269" s="24" t="s">
        <v>15</v>
      </c>
      <c r="B269" s="18" t="s">
        <v>453</v>
      </c>
      <c r="C269" s="17" t="s">
        <v>1083</v>
      </c>
      <c r="D269" s="19" t="s">
        <v>27</v>
      </c>
      <c r="E269" s="23"/>
      <c r="F269" s="21"/>
      <c r="G269" s="22"/>
      <c r="H269" s="23"/>
      <c r="I269" s="23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ht="39.75" customHeight="1">
      <c r="A270" s="17" t="s">
        <v>15</v>
      </c>
      <c r="B270" s="17" t="s">
        <v>453</v>
      </c>
      <c r="C270" s="17" t="s">
        <v>1084</v>
      </c>
      <c r="D270" s="19" t="s">
        <v>27</v>
      </c>
      <c r="E270" s="19" t="s">
        <v>27</v>
      </c>
      <c r="F270" s="21"/>
      <c r="G270" s="22"/>
      <c r="H270" s="20"/>
      <c r="I270" s="20" t="s">
        <v>31</v>
      </c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ht="39.75" customHeight="1">
      <c r="A271" s="24" t="s">
        <v>15</v>
      </c>
      <c r="B271" s="18" t="s">
        <v>453</v>
      </c>
      <c r="C271" s="17" t="s">
        <v>1085</v>
      </c>
      <c r="D271" s="19" t="s">
        <v>27</v>
      </c>
      <c r="E271" s="20" t="s">
        <v>27</v>
      </c>
      <c r="F271" s="21"/>
      <c r="G271" s="22"/>
      <c r="H271" s="20" t="s">
        <v>1086</v>
      </c>
      <c r="I271" s="20" t="s">
        <v>31</v>
      </c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ht="39.75" customHeight="1">
      <c r="A272" s="24" t="s">
        <v>15</v>
      </c>
      <c r="B272" s="18" t="s">
        <v>453</v>
      </c>
      <c r="C272" s="17" t="s">
        <v>1087</v>
      </c>
      <c r="D272" s="19" t="s">
        <v>27</v>
      </c>
      <c r="E272" s="19" t="s">
        <v>27</v>
      </c>
      <c r="F272" s="21"/>
      <c r="G272" s="22"/>
      <c r="H272" s="20"/>
      <c r="I272" s="20" t="s">
        <v>1088</v>
      </c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</row>
    <row r="273" ht="39.75" customHeight="1">
      <c r="A273" s="24" t="s">
        <v>15</v>
      </c>
      <c r="B273" s="18" t="s">
        <v>453</v>
      </c>
      <c r="C273" s="17" t="s">
        <v>1089</v>
      </c>
      <c r="D273" s="19" t="s">
        <v>27</v>
      </c>
      <c r="E273" s="19" t="s">
        <v>27</v>
      </c>
      <c r="F273" s="21"/>
      <c r="G273" s="22"/>
      <c r="H273" s="23"/>
      <c r="I273" s="20" t="s">
        <v>31</v>
      </c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ht="39.75" customHeight="1">
      <c r="A274" s="24" t="s">
        <v>15</v>
      </c>
      <c r="B274" s="18" t="s">
        <v>453</v>
      </c>
      <c r="C274" s="17" t="s">
        <v>1090</v>
      </c>
      <c r="D274" s="19" t="s">
        <v>27</v>
      </c>
      <c r="E274" s="23"/>
      <c r="F274" s="21"/>
      <c r="G274" s="22"/>
      <c r="H274" s="23"/>
      <c r="I274" s="20" t="s">
        <v>31</v>
      </c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</row>
    <row r="275" ht="39.75" customHeight="1">
      <c r="A275" s="24" t="s">
        <v>15</v>
      </c>
      <c r="B275" s="18" t="s">
        <v>453</v>
      </c>
      <c r="C275" s="17" t="s">
        <v>1091</v>
      </c>
      <c r="D275" s="19" t="s">
        <v>27</v>
      </c>
      <c r="E275" s="20" t="s">
        <v>27</v>
      </c>
      <c r="F275" s="21"/>
      <c r="G275" s="22"/>
      <c r="H275" s="23"/>
      <c r="I275" s="20" t="s">
        <v>31</v>
      </c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ht="39.75" customHeight="1">
      <c r="A276" s="17" t="s">
        <v>15</v>
      </c>
      <c r="B276" s="18" t="s">
        <v>453</v>
      </c>
      <c r="C276" s="17" t="s">
        <v>1092</v>
      </c>
      <c r="D276" s="19" t="s">
        <v>27</v>
      </c>
      <c r="E276" s="19" t="s">
        <v>27</v>
      </c>
      <c r="F276" s="21"/>
      <c r="G276" s="22"/>
      <c r="H276" s="23"/>
      <c r="I276" s="20" t="s">
        <v>31</v>
      </c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ht="39.75" customHeight="1">
      <c r="A277" s="17" t="s">
        <v>15</v>
      </c>
      <c r="B277" s="17" t="s">
        <v>453</v>
      </c>
      <c r="C277" s="17" t="s">
        <v>1093</v>
      </c>
      <c r="D277" s="19" t="s">
        <v>27</v>
      </c>
      <c r="E277" s="20" t="s">
        <v>27</v>
      </c>
      <c r="F277" s="21"/>
      <c r="G277" s="22"/>
      <c r="H277" s="23"/>
      <c r="I277" s="20" t="s">
        <v>31</v>
      </c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ht="39.75" customHeight="1">
      <c r="A278" s="17" t="s">
        <v>15</v>
      </c>
      <c r="B278" s="17" t="s">
        <v>453</v>
      </c>
      <c r="C278" s="17" t="s">
        <v>1094</v>
      </c>
      <c r="D278" s="19" t="s">
        <v>27</v>
      </c>
      <c r="E278" s="19"/>
      <c r="F278" s="21"/>
      <c r="G278" s="22"/>
      <c r="H278" s="23"/>
      <c r="I278" s="2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ht="39.75" customHeight="1">
      <c r="A279" s="17" t="s">
        <v>15</v>
      </c>
      <c r="B279" s="17" t="s">
        <v>453</v>
      </c>
      <c r="C279" s="17" t="s">
        <v>1095</v>
      </c>
      <c r="D279" s="19" t="s">
        <v>27</v>
      </c>
      <c r="E279" s="19" t="s">
        <v>27</v>
      </c>
      <c r="F279" s="21"/>
      <c r="G279" s="22"/>
      <c r="H279" s="23"/>
      <c r="I279" s="20" t="s">
        <v>31</v>
      </c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ht="39.75" customHeight="1">
      <c r="A280" s="17" t="s">
        <v>15</v>
      </c>
      <c r="B280" s="17" t="s">
        <v>453</v>
      </c>
      <c r="C280" s="17" t="s">
        <v>1096</v>
      </c>
      <c r="D280" s="19" t="s">
        <v>27</v>
      </c>
      <c r="E280" s="23"/>
      <c r="F280" s="21"/>
      <c r="G280" s="22"/>
      <c r="H280" s="23"/>
      <c r="I280" s="20" t="s">
        <v>31</v>
      </c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ht="39.75" customHeight="1">
      <c r="A281" s="17" t="s">
        <v>15</v>
      </c>
      <c r="B281" s="17" t="s">
        <v>453</v>
      </c>
      <c r="C281" s="17" t="s">
        <v>1097</v>
      </c>
      <c r="D281" s="19" t="s">
        <v>27</v>
      </c>
      <c r="E281" s="19"/>
      <c r="F281" s="21"/>
      <c r="G281" s="22"/>
      <c r="H281" s="23"/>
      <c r="I281" s="20" t="s">
        <v>31</v>
      </c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ht="39.75" customHeight="1">
      <c r="A282" s="17" t="s">
        <v>15</v>
      </c>
      <c r="B282" s="17" t="s">
        <v>453</v>
      </c>
      <c r="C282" s="17" t="s">
        <v>1098</v>
      </c>
      <c r="D282" s="19" t="s">
        <v>27</v>
      </c>
      <c r="E282" s="19" t="s">
        <v>27</v>
      </c>
      <c r="F282" s="21"/>
      <c r="G282" s="22"/>
      <c r="H282" s="20" t="s">
        <v>1099</v>
      </c>
      <c r="I282" s="20" t="s">
        <v>31</v>
      </c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ht="39.75" customHeight="1">
      <c r="A283" s="17" t="s">
        <v>15</v>
      </c>
      <c r="B283" s="17" t="s">
        <v>453</v>
      </c>
      <c r="C283" s="17" t="s">
        <v>1100</v>
      </c>
      <c r="D283" s="19" t="s">
        <v>27</v>
      </c>
      <c r="E283" s="20"/>
      <c r="F283" s="21"/>
      <c r="G283" s="22"/>
      <c r="H283" s="23"/>
      <c r="I283" s="20" t="s">
        <v>31</v>
      </c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ht="39.75" customHeight="1">
      <c r="A284" s="17" t="s">
        <v>15</v>
      </c>
      <c r="B284" s="17" t="s">
        <v>453</v>
      </c>
      <c r="C284" s="17" t="s">
        <v>1101</v>
      </c>
      <c r="D284" s="19" t="s">
        <v>27</v>
      </c>
      <c r="E284" s="19" t="s">
        <v>27</v>
      </c>
      <c r="F284" s="21"/>
      <c r="G284" s="22"/>
      <c r="H284" s="23"/>
      <c r="I284" s="20" t="s">
        <v>31</v>
      </c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ht="39.75" customHeight="1">
      <c r="A285" s="17" t="s">
        <v>15</v>
      </c>
      <c r="B285" s="17" t="s">
        <v>453</v>
      </c>
      <c r="C285" s="17" t="s">
        <v>1102</v>
      </c>
      <c r="D285" s="19" t="s">
        <v>27</v>
      </c>
      <c r="E285" s="19" t="s">
        <v>27</v>
      </c>
      <c r="F285" s="21"/>
      <c r="G285" s="22"/>
      <c r="H285" s="23"/>
      <c r="I285" s="20" t="s">
        <v>31</v>
      </c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ht="39.75" customHeight="1">
      <c r="A286" s="17" t="s">
        <v>15</v>
      </c>
      <c r="B286" s="17" t="s">
        <v>453</v>
      </c>
      <c r="C286" s="17" t="s">
        <v>1103</v>
      </c>
      <c r="D286" s="19" t="s">
        <v>27</v>
      </c>
      <c r="E286" s="20"/>
      <c r="F286" s="21"/>
      <c r="G286" s="22"/>
      <c r="H286" s="23"/>
      <c r="I286" s="20" t="s">
        <v>31</v>
      </c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ht="39.75" customHeight="1">
      <c r="A287" s="17" t="s">
        <v>15</v>
      </c>
      <c r="B287" s="17" t="s">
        <v>453</v>
      </c>
      <c r="C287" s="17" t="s">
        <v>1104</v>
      </c>
      <c r="D287" s="19" t="s">
        <v>27</v>
      </c>
      <c r="E287" s="19" t="s">
        <v>27</v>
      </c>
      <c r="F287" s="21"/>
      <c r="G287" s="22"/>
      <c r="H287" s="23"/>
      <c r="I287" s="20" t="s">
        <v>31</v>
      </c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ht="39.75" customHeight="1">
      <c r="A288" s="17" t="s">
        <v>15</v>
      </c>
      <c r="B288" s="17" t="s">
        <v>453</v>
      </c>
      <c r="C288" s="17" t="s">
        <v>1105</v>
      </c>
      <c r="D288" s="19" t="s">
        <v>27</v>
      </c>
      <c r="E288" s="19" t="s">
        <v>27</v>
      </c>
      <c r="F288" s="21"/>
      <c r="G288" s="22"/>
      <c r="H288" s="23"/>
      <c r="I288" s="20" t="s">
        <v>31</v>
      </c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ht="39.75" customHeight="1">
      <c r="A289" s="17" t="s">
        <v>15</v>
      </c>
      <c r="B289" s="17" t="s">
        <v>453</v>
      </c>
      <c r="C289" s="17" t="s">
        <v>1106</v>
      </c>
      <c r="D289" s="19" t="s">
        <v>27</v>
      </c>
      <c r="E289" s="19"/>
      <c r="F289" s="21"/>
      <c r="G289" s="22"/>
      <c r="H289" s="23"/>
      <c r="I289" s="20" t="s">
        <v>31</v>
      </c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ht="59.25" customHeight="1">
      <c r="A290" s="17" t="s">
        <v>15</v>
      </c>
      <c r="B290" s="17" t="s">
        <v>453</v>
      </c>
      <c r="C290" s="17" t="s">
        <v>1107</v>
      </c>
      <c r="D290" s="19" t="s">
        <v>27</v>
      </c>
      <c r="E290" s="19"/>
      <c r="F290" s="23"/>
      <c r="G290" s="23"/>
      <c r="H290" s="23"/>
      <c r="I290" s="20" t="s">
        <v>31</v>
      </c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ht="39.75" customHeight="1">
      <c r="A291" s="17" t="s">
        <v>15</v>
      </c>
      <c r="B291" s="17" t="s">
        <v>453</v>
      </c>
      <c r="C291" s="17" t="s">
        <v>1108</v>
      </c>
      <c r="D291" s="19" t="s">
        <v>27</v>
      </c>
      <c r="E291" s="19" t="s">
        <v>27</v>
      </c>
      <c r="F291" s="23"/>
      <c r="G291" s="23"/>
      <c r="H291" s="23"/>
      <c r="I291" s="20" t="s">
        <v>31</v>
      </c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ht="39.75" customHeight="1">
      <c r="A292" s="17" t="s">
        <v>15</v>
      </c>
      <c r="B292" s="17" t="s">
        <v>453</v>
      </c>
      <c r="C292" s="17" t="s">
        <v>1109</v>
      </c>
      <c r="D292" s="19"/>
      <c r="E292" s="19"/>
      <c r="F292" s="23"/>
      <c r="G292" s="23"/>
      <c r="H292" s="20" t="s">
        <v>1110</v>
      </c>
      <c r="I292" s="20" t="s">
        <v>31</v>
      </c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ht="39.75" customHeight="1">
      <c r="A293" s="17" t="s">
        <v>15</v>
      </c>
      <c r="B293" s="17" t="s">
        <v>453</v>
      </c>
      <c r="C293" s="17" t="s">
        <v>1111</v>
      </c>
      <c r="D293" s="19" t="s">
        <v>27</v>
      </c>
      <c r="E293" s="19"/>
      <c r="F293" s="23"/>
      <c r="G293" s="23"/>
      <c r="H293" s="20"/>
      <c r="I293" s="20" t="s">
        <v>31</v>
      </c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ht="39.75" customHeight="1">
      <c r="A294" s="17" t="s">
        <v>15</v>
      </c>
      <c r="B294" s="17" t="s">
        <v>453</v>
      </c>
      <c r="C294" s="17" t="s">
        <v>1112</v>
      </c>
      <c r="D294" s="19" t="s">
        <v>27</v>
      </c>
      <c r="E294" s="19" t="s">
        <v>27</v>
      </c>
      <c r="F294" s="23"/>
      <c r="G294" s="23"/>
      <c r="H294" s="20"/>
      <c r="I294" s="20" t="s">
        <v>31</v>
      </c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ht="39.75" customHeight="1">
      <c r="A295" s="17" t="s">
        <v>15</v>
      </c>
      <c r="B295" s="17" t="s">
        <v>453</v>
      </c>
      <c r="C295" s="17" t="s">
        <v>1113</v>
      </c>
      <c r="D295" s="19" t="s">
        <v>27</v>
      </c>
      <c r="E295" s="19"/>
      <c r="F295" s="23"/>
      <c r="G295" s="23"/>
      <c r="H295" s="20"/>
      <c r="I295" s="20" t="s">
        <v>31</v>
      </c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ht="39.75" customHeight="1">
      <c r="A296" s="24" t="s">
        <v>15</v>
      </c>
      <c r="B296" s="18" t="s">
        <v>407</v>
      </c>
      <c r="C296" s="18" t="s">
        <v>1114</v>
      </c>
      <c r="D296" s="21" t="s">
        <v>27</v>
      </c>
      <c r="E296" s="19" t="s">
        <v>27</v>
      </c>
      <c r="F296" s="23"/>
      <c r="G296" s="23"/>
      <c r="H296" s="23"/>
      <c r="I296" s="20" t="s">
        <v>31</v>
      </c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ht="39.75" customHeight="1">
      <c r="A297" s="24" t="s">
        <v>15</v>
      </c>
      <c r="B297" s="18" t="s">
        <v>407</v>
      </c>
      <c r="C297" s="18" t="s">
        <v>1115</v>
      </c>
      <c r="D297" s="21" t="s">
        <v>27</v>
      </c>
      <c r="E297" s="21" t="s">
        <v>27</v>
      </c>
      <c r="F297" s="23" t="s">
        <v>37</v>
      </c>
      <c r="G297" s="23" t="s">
        <v>215</v>
      </c>
      <c r="H297" s="23"/>
      <c r="I297" s="23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ht="39.75" customHeight="1">
      <c r="A298" s="24" t="s">
        <v>15</v>
      </c>
      <c r="B298" s="18" t="s">
        <v>407</v>
      </c>
      <c r="C298" s="17" t="s">
        <v>1116</v>
      </c>
      <c r="D298" s="19" t="s">
        <v>27</v>
      </c>
      <c r="E298" s="19" t="s">
        <v>27</v>
      </c>
      <c r="F298" s="21"/>
      <c r="G298" s="22"/>
      <c r="H298" s="23"/>
      <c r="I298" s="20" t="s">
        <v>31</v>
      </c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ht="39.75" customHeight="1">
      <c r="A299" s="24" t="s">
        <v>15</v>
      </c>
      <c r="B299" s="18" t="s">
        <v>407</v>
      </c>
      <c r="C299" s="18" t="s">
        <v>1117</v>
      </c>
      <c r="D299" s="21" t="s">
        <v>27</v>
      </c>
      <c r="E299" s="21"/>
      <c r="F299" s="21"/>
      <c r="G299" s="22"/>
      <c r="H299" s="23"/>
      <c r="I299" s="23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ht="39.75" customHeight="1">
      <c r="A300" s="24" t="s">
        <v>15</v>
      </c>
      <c r="B300" s="18" t="s">
        <v>407</v>
      </c>
      <c r="C300" s="18" t="s">
        <v>1118</v>
      </c>
      <c r="D300" s="21" t="s">
        <v>27</v>
      </c>
      <c r="E300" s="23"/>
      <c r="F300" s="21"/>
      <c r="G300" s="22"/>
      <c r="H300" s="23"/>
      <c r="I300" s="23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ht="39.75" customHeight="1">
      <c r="A301" s="17" t="s">
        <v>15</v>
      </c>
      <c r="B301" s="17" t="s">
        <v>407</v>
      </c>
      <c r="C301" s="17" t="s">
        <v>1119</v>
      </c>
      <c r="D301" s="19" t="s">
        <v>27</v>
      </c>
      <c r="E301" s="23"/>
      <c r="F301" s="21"/>
      <c r="G301" s="22"/>
      <c r="H301" s="23"/>
      <c r="I301" s="20" t="s">
        <v>31</v>
      </c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ht="39.75" customHeight="1">
      <c r="A302" s="17" t="s">
        <v>15</v>
      </c>
      <c r="B302" s="17" t="s">
        <v>407</v>
      </c>
      <c r="C302" s="17" t="s">
        <v>1120</v>
      </c>
      <c r="D302" s="20" t="s">
        <v>27</v>
      </c>
      <c r="E302" s="23"/>
      <c r="F302" s="21"/>
      <c r="G302" s="23"/>
      <c r="H302" s="23"/>
      <c r="I302" s="20" t="s">
        <v>31</v>
      </c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ht="39.75" customHeight="1">
      <c r="A303" s="17" t="s">
        <v>15</v>
      </c>
      <c r="B303" s="17" t="s">
        <v>407</v>
      </c>
      <c r="C303" s="17" t="s">
        <v>1121</v>
      </c>
      <c r="D303" s="23"/>
      <c r="E303" s="23"/>
      <c r="F303" s="51" t="s">
        <v>37</v>
      </c>
      <c r="G303" s="23" t="s">
        <v>1122</v>
      </c>
      <c r="H303" s="23"/>
      <c r="I303" s="23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ht="39.75" customHeight="1">
      <c r="A304" s="24" t="s">
        <v>15</v>
      </c>
      <c r="B304" s="18" t="s">
        <v>412</v>
      </c>
      <c r="C304" s="17" t="s">
        <v>1123</v>
      </c>
      <c r="D304" s="23" t="s">
        <v>27</v>
      </c>
      <c r="E304" s="23" t="s">
        <v>27</v>
      </c>
      <c r="F304" s="21"/>
      <c r="G304" s="23"/>
      <c r="H304" s="23"/>
      <c r="I304" s="23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ht="39.75" customHeight="1">
      <c r="A305" s="17" t="s">
        <v>15</v>
      </c>
      <c r="B305" s="17" t="s">
        <v>412</v>
      </c>
      <c r="C305" s="17" t="s">
        <v>1124</v>
      </c>
      <c r="D305" s="19" t="s">
        <v>27</v>
      </c>
      <c r="E305" s="23"/>
      <c r="F305" s="23"/>
      <c r="G305" s="22"/>
      <c r="H305" s="20"/>
      <c r="I305" s="20" t="s">
        <v>31</v>
      </c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</row>
    <row r="306" ht="39.75" customHeight="1">
      <c r="A306" s="24" t="s">
        <v>15</v>
      </c>
      <c r="B306" s="18" t="s">
        <v>412</v>
      </c>
      <c r="C306" s="17" t="s">
        <v>1125</v>
      </c>
      <c r="D306" s="21"/>
      <c r="E306" s="23"/>
      <c r="F306" s="23" t="s">
        <v>29</v>
      </c>
      <c r="G306" s="23" t="s">
        <v>1126</v>
      </c>
      <c r="H306" s="20"/>
      <c r="I306" s="20" t="s">
        <v>902</v>
      </c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</row>
    <row r="307" ht="39.75" customHeight="1">
      <c r="A307" s="24" t="s">
        <v>15</v>
      </c>
      <c r="B307" s="18" t="s">
        <v>412</v>
      </c>
      <c r="C307" s="17" t="s">
        <v>1127</v>
      </c>
      <c r="D307" s="21" t="s">
        <v>27</v>
      </c>
      <c r="E307" s="23" t="s">
        <v>27</v>
      </c>
      <c r="F307" s="21" t="s">
        <v>29</v>
      </c>
      <c r="G307" s="23" t="s">
        <v>1126</v>
      </c>
      <c r="H307" s="20"/>
      <c r="I307" s="20" t="s">
        <v>31</v>
      </c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</row>
    <row r="308" ht="39.75" customHeight="1">
      <c r="A308" s="24" t="s">
        <v>15</v>
      </c>
      <c r="B308" s="18" t="s">
        <v>412</v>
      </c>
      <c r="C308" s="18" t="s">
        <v>1128</v>
      </c>
      <c r="D308" s="23" t="s">
        <v>27</v>
      </c>
      <c r="E308" s="23" t="s">
        <v>27</v>
      </c>
      <c r="F308" s="21"/>
      <c r="G308" s="22"/>
      <c r="H308" s="23"/>
      <c r="I308" s="23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ht="39.75" customHeight="1">
      <c r="A309" s="24" t="s">
        <v>15</v>
      </c>
      <c r="B309" s="18" t="s">
        <v>412</v>
      </c>
      <c r="C309" s="18" t="s">
        <v>1129</v>
      </c>
      <c r="D309" s="23" t="s">
        <v>27</v>
      </c>
      <c r="E309" s="23"/>
      <c r="F309" s="23" t="s">
        <v>29</v>
      </c>
      <c r="G309" s="22"/>
      <c r="H309" s="20"/>
      <c r="I309" s="20" t="s">
        <v>31</v>
      </c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</row>
    <row r="310" ht="39.75" customHeight="1">
      <c r="A310" s="17" t="s">
        <v>15</v>
      </c>
      <c r="B310" s="17" t="s">
        <v>412</v>
      </c>
      <c r="C310" s="17" t="s">
        <v>1130</v>
      </c>
      <c r="D310" s="23" t="s">
        <v>27</v>
      </c>
      <c r="E310" s="23"/>
      <c r="F310" s="21"/>
      <c r="G310" s="22"/>
      <c r="H310" s="23"/>
      <c r="I310" s="23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ht="39.75" customHeight="1">
      <c r="A311" s="17" t="s">
        <v>15</v>
      </c>
      <c r="B311" s="17" t="s">
        <v>412</v>
      </c>
      <c r="C311" s="17" t="s">
        <v>1131</v>
      </c>
      <c r="D311" s="20" t="s">
        <v>27</v>
      </c>
      <c r="E311" s="23"/>
      <c r="F311" s="21"/>
      <c r="G311" s="22"/>
      <c r="H311" s="23"/>
      <c r="I311" s="23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ht="39.75" customHeight="1">
      <c r="A312" s="17" t="s">
        <v>15</v>
      </c>
      <c r="B312" s="17" t="s">
        <v>412</v>
      </c>
      <c r="C312" s="17" t="s">
        <v>1132</v>
      </c>
      <c r="D312" s="20" t="s">
        <v>27</v>
      </c>
      <c r="E312" s="20" t="s">
        <v>27</v>
      </c>
      <c r="F312" s="21"/>
      <c r="G312" s="22"/>
      <c r="H312" s="23"/>
      <c r="I312" s="23" t="s">
        <v>31</v>
      </c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ht="39.75" customHeight="1">
      <c r="A313" s="17" t="s">
        <v>15</v>
      </c>
      <c r="B313" s="17" t="s">
        <v>412</v>
      </c>
      <c r="C313" s="17" t="s">
        <v>1133</v>
      </c>
      <c r="D313" s="19"/>
      <c r="E313" s="23"/>
      <c r="F313" s="19" t="s">
        <v>37</v>
      </c>
      <c r="G313" s="19" t="s">
        <v>227</v>
      </c>
      <c r="H313" s="23"/>
      <c r="I313" s="20" t="s">
        <v>31</v>
      </c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ht="39.75" customHeight="1">
      <c r="A314" s="17" t="s">
        <v>15</v>
      </c>
      <c r="B314" s="17" t="s">
        <v>412</v>
      </c>
      <c r="C314" s="17" t="s">
        <v>1134</v>
      </c>
      <c r="D314" s="23" t="s">
        <v>27</v>
      </c>
      <c r="E314" s="23"/>
      <c r="F314" s="21"/>
      <c r="G314" s="22"/>
      <c r="H314" s="23"/>
      <c r="I314" s="20" t="s">
        <v>31</v>
      </c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ht="39.75" customHeight="1">
      <c r="A315" s="17" t="s">
        <v>15</v>
      </c>
      <c r="B315" s="17" t="s">
        <v>412</v>
      </c>
      <c r="C315" s="17" t="s">
        <v>1135</v>
      </c>
      <c r="D315" s="23" t="s">
        <v>27</v>
      </c>
      <c r="E315" s="23" t="s">
        <v>27</v>
      </c>
      <c r="F315" s="21"/>
      <c r="G315" s="22"/>
      <c r="H315" s="23"/>
      <c r="I315" s="20" t="s">
        <v>31</v>
      </c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ht="39.75" customHeight="1">
      <c r="A316" s="17" t="s">
        <v>15</v>
      </c>
      <c r="B316" s="17" t="s">
        <v>412</v>
      </c>
      <c r="C316" s="17" t="s">
        <v>1136</v>
      </c>
      <c r="D316" s="23" t="s">
        <v>27</v>
      </c>
      <c r="E316" s="23"/>
      <c r="F316" s="21"/>
      <c r="G316" s="22"/>
      <c r="H316" s="23"/>
      <c r="I316" s="20" t="s">
        <v>31</v>
      </c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ht="39.75" customHeight="1">
      <c r="A317" s="17" t="s">
        <v>15</v>
      </c>
      <c r="B317" s="17" t="s">
        <v>412</v>
      </c>
      <c r="C317" s="17" t="s">
        <v>1137</v>
      </c>
      <c r="D317" s="23" t="s">
        <v>27</v>
      </c>
      <c r="E317" s="23"/>
      <c r="F317" s="21"/>
      <c r="G317" s="22"/>
      <c r="H317" s="23"/>
      <c r="I317" s="20" t="s">
        <v>31</v>
      </c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ht="39.75" customHeight="1">
      <c r="A318" s="17" t="s">
        <v>15</v>
      </c>
      <c r="B318" s="17" t="s">
        <v>412</v>
      </c>
      <c r="C318" s="17" t="s">
        <v>1138</v>
      </c>
      <c r="D318" s="23" t="s">
        <v>27</v>
      </c>
      <c r="E318" s="23"/>
      <c r="F318" s="21"/>
      <c r="G318" s="22"/>
      <c r="H318" s="23"/>
      <c r="I318" s="20" t="s">
        <v>31</v>
      </c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ht="39.75" customHeight="1">
      <c r="A319" s="24" t="s">
        <v>15</v>
      </c>
      <c r="B319" s="18" t="s">
        <v>918</v>
      </c>
      <c r="C319" s="24" t="s">
        <v>1139</v>
      </c>
      <c r="D319" s="19" t="s">
        <v>27</v>
      </c>
      <c r="E319" s="23" t="s">
        <v>27</v>
      </c>
      <c r="F319" s="21"/>
      <c r="G319" s="22"/>
      <c r="H319" s="23"/>
      <c r="I319" s="20" t="s">
        <v>31</v>
      </c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ht="39.75" customHeight="1">
      <c r="A320" s="24" t="s">
        <v>15</v>
      </c>
      <c r="B320" s="18" t="s">
        <v>918</v>
      </c>
      <c r="C320" s="24" t="s">
        <v>1140</v>
      </c>
      <c r="D320" s="21" t="s">
        <v>27</v>
      </c>
      <c r="E320" s="23" t="s">
        <v>27</v>
      </c>
      <c r="F320" s="21"/>
      <c r="G320" s="22"/>
      <c r="H320" s="23"/>
      <c r="I320" s="20" t="s">
        <v>31</v>
      </c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ht="39.75" customHeight="1">
      <c r="A321" s="24" t="s">
        <v>15</v>
      </c>
      <c r="B321" s="18" t="s">
        <v>918</v>
      </c>
      <c r="C321" s="24" t="s">
        <v>1141</v>
      </c>
      <c r="D321" s="21" t="s">
        <v>27</v>
      </c>
      <c r="E321" s="25" t="s">
        <v>27</v>
      </c>
      <c r="F321" s="21"/>
      <c r="G321" s="22"/>
      <c r="H321" s="20"/>
      <c r="I321" s="20" t="s">
        <v>1142</v>
      </c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</row>
    <row r="322" ht="39.75" customHeight="1">
      <c r="A322" s="24" t="s">
        <v>15</v>
      </c>
      <c r="B322" s="24" t="s">
        <v>918</v>
      </c>
      <c r="C322" s="18" t="s">
        <v>1143</v>
      </c>
      <c r="D322" s="21" t="s">
        <v>27</v>
      </c>
      <c r="E322" s="23" t="s">
        <v>27</v>
      </c>
      <c r="F322" s="21"/>
      <c r="G322" s="22"/>
      <c r="H322" s="23"/>
      <c r="I322" s="20" t="s">
        <v>31</v>
      </c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ht="39.75" customHeight="1">
      <c r="A323" s="24" t="s">
        <v>15</v>
      </c>
      <c r="B323" s="24" t="s">
        <v>918</v>
      </c>
      <c r="C323" s="18" t="s">
        <v>1144</v>
      </c>
      <c r="D323" s="23" t="s">
        <v>27</v>
      </c>
      <c r="E323" s="23" t="s">
        <v>27</v>
      </c>
      <c r="F323" s="21"/>
      <c r="G323" s="22"/>
      <c r="H323" s="23"/>
      <c r="I323" s="20" t="s">
        <v>31</v>
      </c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ht="39.75" customHeight="1">
      <c r="A324" s="17" t="s">
        <v>15</v>
      </c>
      <c r="B324" s="17" t="s">
        <v>918</v>
      </c>
      <c r="C324" s="17" t="s">
        <v>1145</v>
      </c>
      <c r="D324" s="23"/>
      <c r="E324" s="23" t="s">
        <v>27</v>
      </c>
      <c r="F324" s="21"/>
      <c r="G324" s="22"/>
      <c r="H324" s="23"/>
      <c r="I324" s="20" t="s">
        <v>31</v>
      </c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ht="39.75" customHeight="1">
      <c r="A325" s="17" t="s">
        <v>15</v>
      </c>
      <c r="B325" s="17" t="s">
        <v>918</v>
      </c>
      <c r="C325" s="17" t="s">
        <v>1146</v>
      </c>
      <c r="D325" s="23" t="s">
        <v>27</v>
      </c>
      <c r="E325" s="23" t="s">
        <v>27</v>
      </c>
      <c r="F325" s="21"/>
      <c r="G325" s="22"/>
      <c r="H325" s="23"/>
      <c r="I325" s="20" t="s">
        <v>31</v>
      </c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ht="39.75" customHeight="1">
      <c r="A326" s="24" t="s">
        <v>15</v>
      </c>
      <c r="B326" s="24" t="s">
        <v>802</v>
      </c>
      <c r="C326" s="18" t="s">
        <v>1147</v>
      </c>
      <c r="D326" s="21" t="s">
        <v>27</v>
      </c>
      <c r="E326" s="21" t="s">
        <v>27</v>
      </c>
      <c r="F326" s="21"/>
      <c r="G326" s="22"/>
      <c r="H326" s="23"/>
      <c r="I326" s="23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ht="39.75" customHeight="1">
      <c r="A327" s="24" t="s">
        <v>15</v>
      </c>
      <c r="B327" s="24" t="s">
        <v>802</v>
      </c>
      <c r="C327" s="18" t="s">
        <v>1148</v>
      </c>
      <c r="D327" s="21" t="s">
        <v>27</v>
      </c>
      <c r="E327" s="23" t="s">
        <v>27</v>
      </c>
      <c r="F327" s="21"/>
      <c r="G327" s="22"/>
      <c r="H327" s="23"/>
      <c r="I327" s="23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ht="39.75" customHeight="1">
      <c r="A328" s="24" t="s">
        <v>15</v>
      </c>
      <c r="B328" s="24" t="s">
        <v>802</v>
      </c>
      <c r="C328" s="18" t="s">
        <v>1149</v>
      </c>
      <c r="D328" s="21" t="s">
        <v>27</v>
      </c>
      <c r="E328" s="21" t="s">
        <v>27</v>
      </c>
      <c r="F328" s="21"/>
      <c r="G328" s="22"/>
      <c r="H328" s="23"/>
      <c r="I328" s="20" t="s">
        <v>31</v>
      </c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ht="39.75" customHeight="1">
      <c r="A329" s="24" t="s">
        <v>15</v>
      </c>
      <c r="B329" s="24" t="s">
        <v>802</v>
      </c>
      <c r="C329" s="18" t="s">
        <v>1150</v>
      </c>
      <c r="D329" s="21" t="s">
        <v>27</v>
      </c>
      <c r="E329" s="23" t="s">
        <v>27</v>
      </c>
      <c r="F329" s="21"/>
      <c r="G329" s="22"/>
      <c r="H329" s="23"/>
      <c r="I329" s="23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ht="39.75" customHeight="1">
      <c r="A330" s="24" t="s">
        <v>15</v>
      </c>
      <c r="B330" s="24" t="s">
        <v>802</v>
      </c>
      <c r="C330" s="18" t="s">
        <v>1151</v>
      </c>
      <c r="D330" s="21" t="s">
        <v>27</v>
      </c>
      <c r="E330" s="21" t="s">
        <v>27</v>
      </c>
      <c r="F330" s="21"/>
      <c r="G330" s="22"/>
      <c r="H330" s="23"/>
      <c r="I330" s="20" t="s">
        <v>31</v>
      </c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ht="39.75" customHeight="1">
      <c r="A331" s="24" t="s">
        <v>15</v>
      </c>
      <c r="B331" s="24" t="s">
        <v>802</v>
      </c>
      <c r="C331" s="18" t="s">
        <v>1152</v>
      </c>
      <c r="D331" s="21" t="s">
        <v>27</v>
      </c>
      <c r="E331" s="23"/>
      <c r="F331" s="21"/>
      <c r="G331" s="22"/>
      <c r="H331" s="23"/>
      <c r="I331" s="23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ht="39.75" customHeight="1">
      <c r="A332" s="17" t="s">
        <v>15</v>
      </c>
      <c r="B332" s="17" t="s">
        <v>802</v>
      </c>
      <c r="C332" s="17" t="s">
        <v>1153</v>
      </c>
      <c r="D332" s="21" t="s">
        <v>27</v>
      </c>
      <c r="E332" s="23"/>
      <c r="F332" s="21"/>
      <c r="G332" s="22"/>
      <c r="H332" s="23"/>
      <c r="I332" s="20" t="s">
        <v>1154</v>
      </c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ht="39.75" customHeight="1">
      <c r="A333" s="17" t="s">
        <v>15</v>
      </c>
      <c r="B333" s="17" t="s">
        <v>802</v>
      </c>
      <c r="C333" s="17" t="s">
        <v>1155</v>
      </c>
      <c r="D333" s="19" t="s">
        <v>27</v>
      </c>
      <c r="E333" s="23"/>
      <c r="F333" s="21"/>
      <c r="G333" s="22"/>
      <c r="H333" s="23"/>
      <c r="I333" s="20" t="s">
        <v>31</v>
      </c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</row>
    <row r="334" ht="37.5" customHeight="1">
      <c r="A334" s="17" t="s">
        <v>15</v>
      </c>
      <c r="B334" s="17" t="s">
        <v>802</v>
      </c>
      <c r="C334" s="17" t="s">
        <v>1156</v>
      </c>
      <c r="D334" s="19" t="s">
        <v>27</v>
      </c>
      <c r="E334" s="23"/>
      <c r="F334" s="23"/>
      <c r="G334" s="20"/>
      <c r="H334" s="20"/>
      <c r="I334" s="20" t="s">
        <v>31</v>
      </c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</row>
    <row r="335">
      <c r="A335" s="24" t="s">
        <v>15</v>
      </c>
      <c r="B335" s="24" t="s">
        <v>590</v>
      </c>
      <c r="C335" s="18" t="s">
        <v>1157</v>
      </c>
      <c r="D335" s="21" t="s">
        <v>27</v>
      </c>
      <c r="E335" s="23" t="s">
        <v>27</v>
      </c>
      <c r="F335" s="23" t="s">
        <v>654</v>
      </c>
      <c r="G335" s="20" t="s">
        <v>1158</v>
      </c>
      <c r="H335" s="20"/>
      <c r="I335" s="20" t="s">
        <v>902</v>
      </c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</row>
    <row r="336" ht="39.75" customHeight="1">
      <c r="A336" s="24" t="s">
        <v>15</v>
      </c>
      <c r="B336" s="24" t="s">
        <v>590</v>
      </c>
      <c r="C336" s="52" t="s">
        <v>1159</v>
      </c>
      <c r="D336" s="20" t="s">
        <v>27</v>
      </c>
      <c r="E336" s="23"/>
      <c r="F336" s="21"/>
      <c r="G336" s="22"/>
      <c r="H336" s="23"/>
      <c r="I336" s="20" t="s">
        <v>31</v>
      </c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ht="39.75" customHeight="1">
      <c r="A337" s="24" t="s">
        <v>15</v>
      </c>
      <c r="B337" s="24" t="s">
        <v>590</v>
      </c>
      <c r="C337" s="17" t="s">
        <v>1160</v>
      </c>
      <c r="D337" s="20" t="s">
        <v>27</v>
      </c>
      <c r="E337" s="20" t="s">
        <v>27</v>
      </c>
      <c r="F337" s="21"/>
      <c r="G337" s="22"/>
      <c r="H337" s="23"/>
      <c r="I337" s="20" t="s">
        <v>31</v>
      </c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ht="39.75" customHeight="1">
      <c r="A338" s="24" t="s">
        <v>15</v>
      </c>
      <c r="B338" s="24" t="s">
        <v>590</v>
      </c>
      <c r="C338" s="18" t="s">
        <v>1161</v>
      </c>
      <c r="D338" s="21" t="s">
        <v>27</v>
      </c>
      <c r="E338" s="23" t="s">
        <v>27</v>
      </c>
      <c r="F338" s="21"/>
      <c r="G338" s="22"/>
      <c r="H338" s="23"/>
      <c r="I338" s="23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ht="39.75" customHeight="1">
      <c r="A339" s="24" t="s">
        <v>15</v>
      </c>
      <c r="B339" s="24" t="s">
        <v>590</v>
      </c>
      <c r="C339" s="18" t="s">
        <v>1162</v>
      </c>
      <c r="D339" s="21" t="s">
        <v>27</v>
      </c>
      <c r="E339" s="23"/>
      <c r="F339" s="21"/>
      <c r="G339" s="22"/>
      <c r="H339" s="23"/>
      <c r="I339" s="23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ht="39.75" customHeight="1">
      <c r="A340" s="24" t="s">
        <v>15</v>
      </c>
      <c r="B340" s="24" t="s">
        <v>590</v>
      </c>
      <c r="C340" s="17" t="s">
        <v>1163</v>
      </c>
      <c r="D340" s="20" t="s">
        <v>27</v>
      </c>
      <c r="E340" s="20" t="s">
        <v>27</v>
      </c>
      <c r="F340" s="20" t="s">
        <v>654</v>
      </c>
      <c r="G340" s="20" t="s">
        <v>1164</v>
      </c>
      <c r="H340" s="20"/>
      <c r="I340" s="20" t="s">
        <v>31</v>
      </c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ht="39.75" customHeight="1">
      <c r="A341" s="17" t="s">
        <v>15</v>
      </c>
      <c r="B341" s="17" t="s">
        <v>590</v>
      </c>
      <c r="C341" s="53" t="s">
        <v>1165</v>
      </c>
      <c r="D341" s="21" t="s">
        <v>27</v>
      </c>
      <c r="E341" s="23"/>
      <c r="F341" s="23"/>
      <c r="G341" s="23"/>
      <c r="H341" s="23"/>
      <c r="I341" s="23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ht="39.75" customHeight="1">
      <c r="A342" s="24" t="s">
        <v>15</v>
      </c>
      <c r="B342" s="24" t="s">
        <v>875</v>
      </c>
      <c r="C342" s="17" t="s">
        <v>1166</v>
      </c>
      <c r="D342" s="19" t="s">
        <v>27</v>
      </c>
      <c r="E342" s="23"/>
      <c r="F342" s="21"/>
      <c r="G342" s="22"/>
      <c r="H342" s="20" t="s">
        <v>1167</v>
      </c>
      <c r="I342" s="20" t="s">
        <v>31</v>
      </c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ht="39.75" customHeight="1">
      <c r="A343" s="24" t="s">
        <v>15</v>
      </c>
      <c r="B343" s="24" t="s">
        <v>875</v>
      </c>
      <c r="C343" s="17" t="s">
        <v>1168</v>
      </c>
      <c r="D343" s="19" t="s">
        <v>27</v>
      </c>
      <c r="E343" s="23"/>
      <c r="F343" s="21"/>
      <c r="G343" s="22"/>
      <c r="H343" s="23"/>
      <c r="I343" s="20" t="s">
        <v>31</v>
      </c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ht="39.75" customHeight="1">
      <c r="A344" s="24" t="s">
        <v>15</v>
      </c>
      <c r="B344" s="24" t="s">
        <v>875</v>
      </c>
      <c r="C344" s="18" t="s">
        <v>1169</v>
      </c>
      <c r="D344" s="19" t="s">
        <v>27</v>
      </c>
      <c r="E344" s="23"/>
      <c r="F344" s="21"/>
      <c r="G344" s="22"/>
      <c r="H344" s="23"/>
      <c r="I344" s="23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ht="43.5" customHeight="1">
      <c r="A345" s="17" t="s">
        <v>15</v>
      </c>
      <c r="B345" s="17" t="s">
        <v>875</v>
      </c>
      <c r="C345" s="17" t="s">
        <v>1170</v>
      </c>
      <c r="D345" s="19" t="s">
        <v>27</v>
      </c>
      <c r="E345" s="23"/>
      <c r="F345" s="23"/>
      <c r="G345" s="23"/>
      <c r="H345" s="23"/>
      <c r="I345" s="23" t="s">
        <v>31</v>
      </c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</row>
    <row r="346" ht="43.5" customHeight="1">
      <c r="A346" s="24" t="s">
        <v>15</v>
      </c>
      <c r="B346" s="24" t="s">
        <v>875</v>
      </c>
      <c r="C346" s="17" t="s">
        <v>1171</v>
      </c>
      <c r="D346" s="19" t="s">
        <v>27</v>
      </c>
      <c r="E346" s="23"/>
      <c r="F346" s="20" t="s">
        <v>29</v>
      </c>
      <c r="G346" s="20" t="s">
        <v>1172</v>
      </c>
      <c r="H346" s="23"/>
      <c r="I346" s="20" t="s">
        <v>31</v>
      </c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</row>
    <row r="347" ht="39.75" customHeight="1">
      <c r="A347" s="24" t="s">
        <v>15</v>
      </c>
      <c r="B347" s="24" t="s">
        <v>875</v>
      </c>
      <c r="C347" s="17" t="s">
        <v>1173</v>
      </c>
      <c r="D347" s="19" t="s">
        <v>27</v>
      </c>
      <c r="E347" s="23"/>
      <c r="F347" s="20"/>
      <c r="G347" s="20"/>
      <c r="H347" s="23"/>
      <c r="I347" s="20" t="s">
        <v>31</v>
      </c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ht="39.75" customHeight="1">
      <c r="A348" s="24" t="s">
        <v>15</v>
      </c>
      <c r="B348" s="24" t="s">
        <v>875</v>
      </c>
      <c r="C348" s="17" t="s">
        <v>1174</v>
      </c>
      <c r="D348" s="19" t="s">
        <v>27</v>
      </c>
      <c r="E348" s="23"/>
      <c r="F348" s="20"/>
      <c r="G348" s="20"/>
      <c r="H348" s="23"/>
      <c r="I348" s="20" t="s">
        <v>31</v>
      </c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ht="39.75" customHeight="1">
      <c r="A349" s="24" t="s">
        <v>15</v>
      </c>
      <c r="B349" s="24" t="s">
        <v>875</v>
      </c>
      <c r="C349" s="17" t="s">
        <v>1175</v>
      </c>
      <c r="D349" s="21"/>
      <c r="E349" s="23"/>
      <c r="F349" s="20" t="s">
        <v>37</v>
      </c>
      <c r="G349" s="20" t="s">
        <v>1176</v>
      </c>
      <c r="H349" s="23"/>
      <c r="I349" s="23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ht="39.75" customHeight="1">
      <c r="A350" s="18" t="s">
        <v>15</v>
      </c>
      <c r="B350" s="24" t="s">
        <v>875</v>
      </c>
      <c r="C350" s="17" t="s">
        <v>1177</v>
      </c>
      <c r="D350" s="19" t="s">
        <v>27</v>
      </c>
      <c r="E350" s="23"/>
      <c r="F350" s="20"/>
      <c r="G350" s="20"/>
      <c r="H350" s="20"/>
      <c r="I350" s="20" t="s">
        <v>31</v>
      </c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</row>
    <row r="351" ht="39.75" customHeight="1">
      <c r="A351" s="17" t="s">
        <v>15</v>
      </c>
      <c r="B351" s="17" t="s">
        <v>875</v>
      </c>
      <c r="C351" s="17" t="s">
        <v>1178</v>
      </c>
      <c r="D351" s="19" t="s">
        <v>27</v>
      </c>
      <c r="E351" s="23"/>
      <c r="F351" s="23"/>
      <c r="G351" s="23"/>
      <c r="H351" s="23"/>
      <c r="I351" s="20" t="s">
        <v>31</v>
      </c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ht="39.75" customHeight="1">
      <c r="A352" s="18" t="s">
        <v>15</v>
      </c>
      <c r="B352" s="24" t="s">
        <v>875</v>
      </c>
      <c r="C352" s="17" t="s">
        <v>1179</v>
      </c>
      <c r="D352" s="19" t="s">
        <v>27</v>
      </c>
      <c r="E352" s="23"/>
      <c r="F352" s="20"/>
      <c r="G352" s="23"/>
      <c r="H352" s="23"/>
      <c r="I352" s="20" t="s">
        <v>31</v>
      </c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ht="39.75" customHeight="1">
      <c r="A353" s="17" t="s">
        <v>15</v>
      </c>
      <c r="B353" s="17" t="s">
        <v>875</v>
      </c>
      <c r="C353" s="17" t="s">
        <v>1180</v>
      </c>
      <c r="D353" s="19" t="s">
        <v>27</v>
      </c>
      <c r="E353" s="19" t="s">
        <v>27</v>
      </c>
      <c r="F353" s="23" t="s">
        <v>37</v>
      </c>
      <c r="G353" s="20" t="s">
        <v>1181</v>
      </c>
      <c r="H353" s="20" t="s">
        <v>1182</v>
      </c>
      <c r="I353" s="20" t="s">
        <v>31</v>
      </c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</row>
    <row r="354" ht="39.75" customHeight="1">
      <c r="A354" s="17" t="s">
        <v>15</v>
      </c>
      <c r="B354" s="17" t="s">
        <v>875</v>
      </c>
      <c r="C354" s="17" t="s">
        <v>1183</v>
      </c>
      <c r="D354" s="19" t="s">
        <v>27</v>
      </c>
      <c r="E354" s="23"/>
      <c r="F354" s="23"/>
      <c r="G354" s="23"/>
      <c r="H354" s="23"/>
      <c r="I354" s="23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ht="39.75" customHeight="1">
      <c r="A355" s="17" t="s">
        <v>15</v>
      </c>
      <c r="B355" s="17" t="s">
        <v>875</v>
      </c>
      <c r="C355" s="17" t="s">
        <v>1184</v>
      </c>
      <c r="D355" s="19" t="s">
        <v>27</v>
      </c>
      <c r="E355" s="23"/>
      <c r="F355" s="23"/>
      <c r="G355" s="23"/>
      <c r="H355" s="23"/>
      <c r="I355" s="23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ht="39.75" customHeight="1">
      <c r="A356" s="17" t="s">
        <v>15</v>
      </c>
      <c r="B356" s="17" t="s">
        <v>875</v>
      </c>
      <c r="C356" s="17" t="s">
        <v>1185</v>
      </c>
      <c r="D356" s="19" t="s">
        <v>27</v>
      </c>
      <c r="E356" s="23"/>
      <c r="F356" s="23"/>
      <c r="G356" s="23"/>
      <c r="H356" s="23"/>
      <c r="I356" s="23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ht="39.75" customHeight="1">
      <c r="A357" s="17" t="s">
        <v>15</v>
      </c>
      <c r="B357" s="17" t="s">
        <v>875</v>
      </c>
      <c r="C357" s="17" t="s">
        <v>1186</v>
      </c>
      <c r="D357" s="19" t="s">
        <v>27</v>
      </c>
      <c r="E357" s="23"/>
      <c r="F357" s="23"/>
      <c r="G357" s="23"/>
      <c r="H357" s="23"/>
      <c r="I357" s="23" t="s">
        <v>31</v>
      </c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ht="39.75" customHeight="1">
      <c r="A358" s="17" t="s">
        <v>15</v>
      </c>
      <c r="B358" s="17" t="s">
        <v>875</v>
      </c>
      <c r="C358" s="17" t="s">
        <v>1187</v>
      </c>
      <c r="D358" s="19" t="s">
        <v>27</v>
      </c>
      <c r="E358" s="23"/>
      <c r="F358" s="23" t="s">
        <v>37</v>
      </c>
      <c r="G358" s="20" t="s">
        <v>1188</v>
      </c>
      <c r="H358" s="23"/>
      <c r="I358" s="23" t="s">
        <v>31</v>
      </c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ht="39.75" customHeight="1">
      <c r="A359" s="17" t="s">
        <v>15</v>
      </c>
      <c r="B359" s="17" t="s">
        <v>875</v>
      </c>
      <c r="C359" s="17" t="s">
        <v>1189</v>
      </c>
      <c r="D359" s="19" t="s">
        <v>27</v>
      </c>
      <c r="E359" s="23"/>
      <c r="F359" s="23"/>
      <c r="G359" s="23"/>
      <c r="H359" s="23"/>
      <c r="I359" s="23" t="s">
        <v>31</v>
      </c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ht="39.75" customHeight="1">
      <c r="A360" s="17" t="s">
        <v>15</v>
      </c>
      <c r="B360" s="17" t="s">
        <v>875</v>
      </c>
      <c r="C360" s="17" t="s">
        <v>1190</v>
      </c>
      <c r="D360" s="19" t="s">
        <v>27</v>
      </c>
      <c r="E360" s="23"/>
      <c r="F360" s="23"/>
      <c r="G360" s="23"/>
      <c r="H360" s="23"/>
      <c r="I360" s="23" t="s">
        <v>31</v>
      </c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ht="39.75" customHeight="1">
      <c r="A361" s="17" t="s">
        <v>15</v>
      </c>
      <c r="B361" s="17" t="s">
        <v>875</v>
      </c>
      <c r="C361" s="17" t="s">
        <v>1191</v>
      </c>
      <c r="D361" s="19" t="s">
        <v>27</v>
      </c>
      <c r="E361" s="23"/>
      <c r="F361" s="23"/>
      <c r="G361" s="23"/>
      <c r="H361" s="23"/>
      <c r="I361" s="23" t="s">
        <v>31</v>
      </c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ht="39.75" customHeight="1">
      <c r="A362" s="17" t="s">
        <v>15</v>
      </c>
      <c r="B362" s="17" t="s">
        <v>875</v>
      </c>
      <c r="C362" s="17" t="s">
        <v>1192</v>
      </c>
      <c r="D362" s="19" t="s">
        <v>27</v>
      </c>
      <c r="E362" s="23"/>
      <c r="F362" s="23"/>
      <c r="G362" s="23"/>
      <c r="H362" s="23"/>
      <c r="I362" s="23" t="s">
        <v>31</v>
      </c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ht="39.75" customHeight="1">
      <c r="A363" s="17" t="s">
        <v>15</v>
      </c>
      <c r="B363" s="17" t="s">
        <v>875</v>
      </c>
      <c r="C363" s="17" t="s">
        <v>1193</v>
      </c>
      <c r="D363" s="19" t="s">
        <v>27</v>
      </c>
      <c r="E363" s="23"/>
      <c r="F363" s="23"/>
      <c r="G363" s="23"/>
      <c r="H363" s="23"/>
      <c r="I363" s="23" t="s">
        <v>31</v>
      </c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ht="39.75" customHeight="1">
      <c r="A364" s="17" t="s">
        <v>15</v>
      </c>
      <c r="B364" s="17" t="s">
        <v>875</v>
      </c>
      <c r="C364" s="17" t="s">
        <v>1194</v>
      </c>
      <c r="D364" s="19" t="s">
        <v>27</v>
      </c>
      <c r="E364" s="23"/>
      <c r="F364" s="23"/>
      <c r="G364" s="23"/>
      <c r="H364" s="23"/>
      <c r="I364" s="23" t="s">
        <v>31</v>
      </c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ht="39.75" customHeight="1">
      <c r="A365" s="17" t="s">
        <v>15</v>
      </c>
      <c r="B365" s="17" t="s">
        <v>875</v>
      </c>
      <c r="C365" s="17" t="s">
        <v>1195</v>
      </c>
      <c r="D365" s="19" t="s">
        <v>27</v>
      </c>
      <c r="E365" s="23"/>
      <c r="F365" s="23"/>
      <c r="G365" s="23"/>
      <c r="H365" s="23"/>
      <c r="I365" s="23" t="s">
        <v>31</v>
      </c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ht="39.75" customHeight="1">
      <c r="A366" s="17" t="s">
        <v>15</v>
      </c>
      <c r="B366" s="17" t="s">
        <v>875</v>
      </c>
      <c r="C366" s="17" t="s">
        <v>1196</v>
      </c>
      <c r="D366" s="19" t="s">
        <v>27</v>
      </c>
      <c r="E366" s="23"/>
      <c r="F366" s="23"/>
      <c r="G366" s="23"/>
      <c r="H366" s="23"/>
      <c r="I366" s="23" t="s">
        <v>31</v>
      </c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ht="39.75" customHeight="1">
      <c r="A367" s="17" t="s">
        <v>15</v>
      </c>
      <c r="B367" s="17" t="s">
        <v>875</v>
      </c>
      <c r="C367" s="17" t="s">
        <v>1197</v>
      </c>
      <c r="D367" s="19" t="s">
        <v>27</v>
      </c>
      <c r="E367" s="23"/>
      <c r="F367" s="23"/>
      <c r="G367" s="23"/>
      <c r="H367" s="23"/>
      <c r="I367" s="23" t="s">
        <v>31</v>
      </c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ht="39.75" customHeight="1">
      <c r="A368" s="17" t="s">
        <v>15</v>
      </c>
      <c r="B368" s="17" t="s">
        <v>875</v>
      </c>
      <c r="C368" s="17" t="s">
        <v>1198</v>
      </c>
      <c r="D368" s="19" t="s">
        <v>27</v>
      </c>
      <c r="E368" s="23"/>
      <c r="F368" s="21"/>
      <c r="G368" s="22"/>
      <c r="H368" s="23"/>
      <c r="I368" s="23" t="s">
        <v>31</v>
      </c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ht="39.75" customHeight="1">
      <c r="A369" s="17" t="s">
        <v>15</v>
      </c>
      <c r="B369" s="17" t="s">
        <v>875</v>
      </c>
      <c r="C369" s="17" t="s">
        <v>1199</v>
      </c>
      <c r="D369" s="19" t="s">
        <v>27</v>
      </c>
      <c r="E369" s="23"/>
      <c r="F369" s="21"/>
      <c r="G369" s="22"/>
      <c r="H369" s="23"/>
      <c r="I369" s="23" t="s">
        <v>31</v>
      </c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ht="39.75" customHeight="1">
      <c r="A370" s="18" t="s">
        <v>15</v>
      </c>
      <c r="B370" s="24" t="s">
        <v>912</v>
      </c>
      <c r="C370" s="24" t="s">
        <v>1200</v>
      </c>
      <c r="D370" s="21" t="s">
        <v>27</v>
      </c>
      <c r="E370" s="23" t="s">
        <v>27</v>
      </c>
      <c r="F370" s="21"/>
      <c r="G370" s="22"/>
      <c r="H370" s="23"/>
      <c r="I370" s="20" t="s">
        <v>1201</v>
      </c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ht="39.75" customHeight="1">
      <c r="A371" s="18" t="s">
        <v>15</v>
      </c>
      <c r="B371" s="24" t="s">
        <v>912</v>
      </c>
      <c r="C371" s="24" t="s">
        <v>1202</v>
      </c>
      <c r="D371" s="21"/>
      <c r="E371" s="23" t="s">
        <v>27</v>
      </c>
      <c r="F371" s="21"/>
      <c r="G371" s="22"/>
      <c r="H371" s="20"/>
      <c r="I371" s="20" t="s">
        <v>31</v>
      </c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</row>
    <row r="372" ht="39.75" customHeight="1">
      <c r="A372" s="18" t="s">
        <v>15</v>
      </c>
      <c r="B372" s="24" t="s">
        <v>912</v>
      </c>
      <c r="C372" s="24" t="s">
        <v>1203</v>
      </c>
      <c r="D372" s="21" t="s">
        <v>27</v>
      </c>
      <c r="E372" s="21" t="s">
        <v>27</v>
      </c>
      <c r="F372" s="21"/>
      <c r="G372" s="22"/>
      <c r="H372" s="23"/>
      <c r="I372" s="23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ht="39.75" customHeight="1">
      <c r="A373" s="18" t="s">
        <v>15</v>
      </c>
      <c r="B373" s="24" t="s">
        <v>912</v>
      </c>
      <c r="C373" s="24" t="s">
        <v>1204</v>
      </c>
      <c r="D373" s="21" t="s">
        <v>27</v>
      </c>
      <c r="E373" s="23" t="s">
        <v>27</v>
      </c>
      <c r="F373" s="21"/>
      <c r="G373" s="22"/>
      <c r="H373" s="23"/>
      <c r="I373" s="23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ht="39.75" customHeight="1">
      <c r="A374" s="18" t="s">
        <v>15</v>
      </c>
      <c r="B374" s="24" t="s">
        <v>477</v>
      </c>
      <c r="C374" s="24" t="s">
        <v>1205</v>
      </c>
      <c r="D374" s="19" t="s">
        <v>27</v>
      </c>
      <c r="E374" s="19" t="s">
        <v>27</v>
      </c>
      <c r="F374" s="21"/>
      <c r="G374" s="22"/>
      <c r="H374" s="23"/>
      <c r="I374" s="20" t="s">
        <v>31</v>
      </c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ht="39.75" customHeight="1">
      <c r="A375" s="18" t="s">
        <v>15</v>
      </c>
      <c r="B375" s="24" t="s">
        <v>477</v>
      </c>
      <c r="C375" s="24" t="s">
        <v>1206</v>
      </c>
      <c r="D375" s="19" t="s">
        <v>27</v>
      </c>
      <c r="E375" s="20" t="s">
        <v>27</v>
      </c>
      <c r="F375" s="21"/>
      <c r="G375" s="22"/>
      <c r="H375" s="20"/>
      <c r="I375" s="20" t="s">
        <v>902</v>
      </c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</row>
    <row r="376" ht="39.75" customHeight="1">
      <c r="A376" s="18" t="s">
        <v>15</v>
      </c>
      <c r="B376" s="24" t="s">
        <v>477</v>
      </c>
      <c r="C376" s="24" t="s">
        <v>1207</v>
      </c>
      <c r="D376" s="19" t="s">
        <v>27</v>
      </c>
      <c r="E376" s="20" t="s">
        <v>27</v>
      </c>
      <c r="F376" s="21"/>
      <c r="G376" s="22"/>
      <c r="H376" s="23"/>
      <c r="I376" s="23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ht="39.75" customHeight="1">
      <c r="A377" s="18" t="s">
        <v>15</v>
      </c>
      <c r="B377" s="24" t="s">
        <v>477</v>
      </c>
      <c r="C377" s="24" t="s">
        <v>1208</v>
      </c>
      <c r="D377" s="19" t="s">
        <v>27</v>
      </c>
      <c r="E377" s="19" t="s">
        <v>27</v>
      </c>
      <c r="F377" s="21"/>
      <c r="G377" s="22"/>
      <c r="H377" s="20"/>
      <c r="I377" s="20" t="s">
        <v>31</v>
      </c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</row>
    <row r="378" ht="39.75" customHeight="1">
      <c r="A378" s="18" t="s">
        <v>15</v>
      </c>
      <c r="B378" s="24" t="s">
        <v>477</v>
      </c>
      <c r="C378" s="24" t="s">
        <v>1209</v>
      </c>
      <c r="D378" s="19" t="s">
        <v>27</v>
      </c>
      <c r="E378" s="20" t="s">
        <v>27</v>
      </c>
      <c r="F378" s="21"/>
      <c r="G378" s="22"/>
      <c r="H378" s="23"/>
      <c r="I378" s="23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ht="39.75" customHeight="1">
      <c r="A379" s="18" t="s">
        <v>15</v>
      </c>
      <c r="B379" s="24" t="s">
        <v>477</v>
      </c>
      <c r="C379" s="17" t="s">
        <v>1210</v>
      </c>
      <c r="D379" s="19" t="s">
        <v>27</v>
      </c>
      <c r="E379" s="20" t="s">
        <v>27</v>
      </c>
      <c r="F379" s="21"/>
      <c r="G379" s="22"/>
      <c r="H379" s="20"/>
      <c r="I379" s="20" t="s">
        <v>31</v>
      </c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</row>
    <row r="380" ht="39.75" customHeight="1">
      <c r="A380" s="18" t="s">
        <v>15</v>
      </c>
      <c r="B380" s="24" t="s">
        <v>477</v>
      </c>
      <c r="C380" s="24" t="s">
        <v>1211</v>
      </c>
      <c r="D380" s="19" t="s">
        <v>27</v>
      </c>
      <c r="E380" s="20" t="s">
        <v>27</v>
      </c>
      <c r="F380" s="21"/>
      <c r="G380" s="22"/>
      <c r="H380" s="23"/>
      <c r="I380" s="20" t="s">
        <v>31</v>
      </c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ht="39.75" customHeight="1">
      <c r="A381" s="18" t="s">
        <v>15</v>
      </c>
      <c r="B381" s="24" t="s">
        <v>477</v>
      </c>
      <c r="C381" s="24" t="s">
        <v>1212</v>
      </c>
      <c r="D381" s="19" t="s">
        <v>27</v>
      </c>
      <c r="E381" s="20" t="s">
        <v>27</v>
      </c>
      <c r="F381" s="21"/>
      <c r="G381" s="22"/>
      <c r="H381" s="20"/>
      <c r="I381" s="20" t="s">
        <v>31</v>
      </c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</row>
    <row r="382" ht="39.75" customHeight="1">
      <c r="A382" s="18" t="s">
        <v>15</v>
      </c>
      <c r="B382" s="24" t="s">
        <v>477</v>
      </c>
      <c r="C382" s="24" t="s">
        <v>1213</v>
      </c>
      <c r="D382" s="19" t="s">
        <v>27</v>
      </c>
      <c r="E382" s="20" t="s">
        <v>27</v>
      </c>
      <c r="F382" s="21"/>
      <c r="G382" s="22"/>
      <c r="H382" s="23"/>
      <c r="I382" s="20" t="s">
        <v>31</v>
      </c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</row>
    <row r="383" ht="39.75" customHeight="1">
      <c r="A383" s="18" t="s">
        <v>15</v>
      </c>
      <c r="B383" s="24" t="s">
        <v>477</v>
      </c>
      <c r="C383" s="24" t="s">
        <v>1214</v>
      </c>
      <c r="D383" s="21"/>
      <c r="E383" s="20" t="s">
        <v>27</v>
      </c>
      <c r="F383" s="21"/>
      <c r="G383" s="22"/>
      <c r="H383" s="23"/>
      <c r="I383" s="23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ht="39.75" customHeight="1">
      <c r="A384" s="18" t="s">
        <v>15</v>
      </c>
      <c r="B384" s="24" t="s">
        <v>477</v>
      </c>
      <c r="C384" s="24" t="s">
        <v>1215</v>
      </c>
      <c r="D384" s="19" t="s">
        <v>27</v>
      </c>
      <c r="E384" s="23"/>
      <c r="F384" s="20" t="s">
        <v>37</v>
      </c>
      <c r="G384" s="20" t="s">
        <v>1216</v>
      </c>
      <c r="H384" s="23"/>
      <c r="I384" s="20" t="s">
        <v>31</v>
      </c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</row>
    <row r="385" ht="39.75" customHeight="1">
      <c r="A385" s="18" t="s">
        <v>15</v>
      </c>
      <c r="B385" s="24" t="s">
        <v>477</v>
      </c>
      <c r="C385" s="24" t="s">
        <v>1217</v>
      </c>
      <c r="D385" s="19" t="s">
        <v>27</v>
      </c>
      <c r="E385" s="20" t="s">
        <v>27</v>
      </c>
      <c r="F385" s="21"/>
      <c r="G385" s="22"/>
      <c r="H385" s="23"/>
      <c r="I385" s="20" t="s">
        <v>31</v>
      </c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ht="39.75" customHeight="1">
      <c r="A386" s="18" t="s">
        <v>15</v>
      </c>
      <c r="B386" s="24" t="s">
        <v>477</v>
      </c>
      <c r="C386" s="24" t="s">
        <v>1218</v>
      </c>
      <c r="D386" s="19" t="s">
        <v>27</v>
      </c>
      <c r="E386" s="19" t="s">
        <v>27</v>
      </c>
      <c r="F386" s="21"/>
      <c r="G386" s="22"/>
      <c r="H386" s="23"/>
      <c r="I386" s="23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ht="39.75" customHeight="1">
      <c r="A387" s="18" t="s">
        <v>15</v>
      </c>
      <c r="B387" s="24" t="s">
        <v>477</v>
      </c>
      <c r="C387" s="24" t="s">
        <v>1219</v>
      </c>
      <c r="D387" s="19" t="s">
        <v>27</v>
      </c>
      <c r="E387" s="19" t="s">
        <v>27</v>
      </c>
      <c r="F387" s="21"/>
      <c r="G387" s="22"/>
      <c r="H387" s="23"/>
      <c r="I387" s="23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ht="39.75" customHeight="1">
      <c r="A388" s="18" t="s">
        <v>15</v>
      </c>
      <c r="B388" s="24" t="s">
        <v>477</v>
      </c>
      <c r="C388" s="24" t="s">
        <v>1220</v>
      </c>
      <c r="D388" s="19" t="s">
        <v>27</v>
      </c>
      <c r="E388" s="19" t="s">
        <v>27</v>
      </c>
      <c r="F388" s="21"/>
      <c r="G388" s="22"/>
      <c r="H388" s="23"/>
      <c r="I388" s="20" t="s">
        <v>31</v>
      </c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</row>
    <row r="389" ht="39.75" customHeight="1">
      <c r="A389" s="18" t="s">
        <v>15</v>
      </c>
      <c r="B389" s="24" t="s">
        <v>477</v>
      </c>
      <c r="C389" s="17" t="s">
        <v>1221</v>
      </c>
      <c r="D389" s="19" t="s">
        <v>27</v>
      </c>
      <c r="E389" s="19" t="s">
        <v>27</v>
      </c>
      <c r="F389" s="21"/>
      <c r="G389" s="22"/>
      <c r="H389" s="23"/>
      <c r="I389" s="20" t="s">
        <v>31</v>
      </c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ht="39.75" customHeight="1">
      <c r="A390" s="18" t="s">
        <v>15</v>
      </c>
      <c r="B390" s="24" t="s">
        <v>477</v>
      </c>
      <c r="C390" s="17" t="s">
        <v>1222</v>
      </c>
      <c r="D390" s="19" t="s">
        <v>27</v>
      </c>
      <c r="E390" s="19" t="s">
        <v>27</v>
      </c>
      <c r="F390" s="21"/>
      <c r="G390" s="22"/>
      <c r="H390" s="23"/>
      <c r="I390" s="20" t="s">
        <v>31</v>
      </c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ht="39.75" customHeight="1">
      <c r="A391" s="18" t="s">
        <v>15</v>
      </c>
      <c r="B391" s="24" t="s">
        <v>477</v>
      </c>
      <c r="C391" s="17" t="s">
        <v>1223</v>
      </c>
      <c r="D391" s="19" t="s">
        <v>27</v>
      </c>
      <c r="E391" s="19" t="s">
        <v>27</v>
      </c>
      <c r="F391" s="21"/>
      <c r="G391" s="22"/>
      <c r="H391" s="23"/>
      <c r="I391" s="20" t="s">
        <v>31</v>
      </c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ht="39.75" customHeight="1">
      <c r="A392" s="18" t="s">
        <v>15</v>
      </c>
      <c r="B392" s="24" t="s">
        <v>477</v>
      </c>
      <c r="C392" s="17" t="s">
        <v>1224</v>
      </c>
      <c r="D392" s="19" t="s">
        <v>27</v>
      </c>
      <c r="E392" s="19" t="s">
        <v>27</v>
      </c>
      <c r="F392" s="21"/>
      <c r="G392" s="22"/>
      <c r="H392" s="23"/>
      <c r="I392" s="20" t="s">
        <v>31</v>
      </c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ht="39.75" customHeight="1">
      <c r="A393" s="18" t="s">
        <v>15</v>
      </c>
      <c r="B393" s="24" t="s">
        <v>477</v>
      </c>
      <c r="C393" s="17" t="s">
        <v>1225</v>
      </c>
      <c r="D393" s="19" t="s">
        <v>27</v>
      </c>
      <c r="E393" s="19" t="s">
        <v>27</v>
      </c>
      <c r="F393" s="21"/>
      <c r="G393" s="22"/>
      <c r="H393" s="23"/>
      <c r="I393" s="20" t="s">
        <v>31</v>
      </c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ht="39.75" customHeight="1">
      <c r="A394" s="18" t="s">
        <v>15</v>
      </c>
      <c r="B394" s="24" t="s">
        <v>477</v>
      </c>
      <c r="C394" s="17" t="s">
        <v>1226</v>
      </c>
      <c r="D394" s="19" t="s">
        <v>27</v>
      </c>
      <c r="E394" s="19" t="s">
        <v>27</v>
      </c>
      <c r="F394" s="21"/>
      <c r="G394" s="22"/>
      <c r="H394" s="23"/>
      <c r="I394" s="20" t="s">
        <v>31</v>
      </c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ht="39.75" customHeight="1">
      <c r="A395" s="18" t="s">
        <v>15</v>
      </c>
      <c r="B395" s="24" t="s">
        <v>161</v>
      </c>
      <c r="C395" s="24" t="s">
        <v>1227</v>
      </c>
      <c r="D395" s="21"/>
      <c r="E395" s="23" t="s">
        <v>27</v>
      </c>
      <c r="F395" s="21"/>
      <c r="G395" s="22"/>
      <c r="H395" s="23"/>
      <c r="I395" s="23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ht="39.75" customHeight="1">
      <c r="A396" s="17" t="s">
        <v>15</v>
      </c>
      <c r="B396" s="24" t="s">
        <v>660</v>
      </c>
      <c r="C396" s="17" t="s">
        <v>1228</v>
      </c>
      <c r="D396" s="19" t="s">
        <v>27</v>
      </c>
      <c r="E396" s="23"/>
      <c r="F396" s="21"/>
      <c r="G396" s="22"/>
      <c r="H396" s="23"/>
      <c r="I396" s="20" t="s">
        <v>31</v>
      </c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ht="39.75" customHeight="1">
      <c r="A397" s="17" t="s">
        <v>15</v>
      </c>
      <c r="B397" s="24" t="s">
        <v>660</v>
      </c>
      <c r="C397" s="17" t="s">
        <v>1229</v>
      </c>
      <c r="D397" s="19" t="s">
        <v>27</v>
      </c>
      <c r="E397" s="23"/>
      <c r="F397" s="21"/>
      <c r="G397" s="22"/>
      <c r="H397" s="23"/>
      <c r="I397" s="23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ht="39.75" customHeight="1">
      <c r="A398" s="17" t="s">
        <v>15</v>
      </c>
      <c r="B398" s="24" t="s">
        <v>660</v>
      </c>
      <c r="C398" s="17" t="s">
        <v>1230</v>
      </c>
      <c r="D398" s="19" t="s">
        <v>27</v>
      </c>
      <c r="E398" s="21" t="s">
        <v>27</v>
      </c>
      <c r="F398" s="21"/>
      <c r="G398" s="22"/>
      <c r="H398" s="23"/>
      <c r="I398" s="20" t="s">
        <v>31</v>
      </c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ht="39.75" customHeight="1">
      <c r="A399" s="17" t="s">
        <v>15</v>
      </c>
      <c r="B399" s="24" t="s">
        <v>660</v>
      </c>
      <c r="C399" s="17" t="s">
        <v>1231</v>
      </c>
      <c r="D399" s="19" t="s">
        <v>27</v>
      </c>
      <c r="E399" s="23"/>
      <c r="F399" s="21"/>
      <c r="G399" s="22"/>
      <c r="H399" s="23"/>
      <c r="I399" s="20" t="s">
        <v>31</v>
      </c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ht="39.75" customHeight="1">
      <c r="A400" s="17" t="s">
        <v>15</v>
      </c>
      <c r="B400" s="17" t="s">
        <v>471</v>
      </c>
      <c r="C400" s="17" t="s">
        <v>1232</v>
      </c>
      <c r="D400" s="19" t="s">
        <v>27</v>
      </c>
      <c r="E400" s="23"/>
      <c r="F400" s="21"/>
      <c r="G400" s="22"/>
      <c r="H400" s="23"/>
      <c r="I400" s="20" t="s">
        <v>31</v>
      </c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ht="39.75" customHeight="1">
      <c r="A401" s="17" t="s">
        <v>14</v>
      </c>
      <c r="B401" s="17" t="s">
        <v>567</v>
      </c>
      <c r="C401" s="17" t="s">
        <v>1233</v>
      </c>
      <c r="D401" s="21" t="s">
        <v>27</v>
      </c>
      <c r="E401" s="23"/>
      <c r="F401" s="23"/>
      <c r="G401" s="23"/>
      <c r="H401" s="23"/>
      <c r="I401" s="23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ht="39.75" customHeight="1">
      <c r="A402" s="18" t="s">
        <v>14</v>
      </c>
      <c r="B402" s="24" t="s">
        <v>64</v>
      </c>
      <c r="C402" s="24" t="s">
        <v>1234</v>
      </c>
      <c r="D402" s="21"/>
      <c r="E402" s="23"/>
      <c r="F402" s="23" t="s">
        <v>29</v>
      </c>
      <c r="G402" s="23" t="s">
        <v>1126</v>
      </c>
      <c r="H402" s="23"/>
      <c r="I402" s="23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ht="39.75" customHeight="1">
      <c r="A403" s="18" t="s">
        <v>14</v>
      </c>
      <c r="B403" s="24" t="s">
        <v>64</v>
      </c>
      <c r="C403" s="24" t="s">
        <v>1235</v>
      </c>
      <c r="D403" s="21" t="s">
        <v>27</v>
      </c>
      <c r="E403" s="23"/>
      <c r="F403" s="21"/>
      <c r="G403" s="22"/>
      <c r="H403" s="23"/>
      <c r="I403" s="23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ht="39.75" customHeight="1">
      <c r="A404" s="18" t="s">
        <v>14</v>
      </c>
      <c r="B404" s="24" t="s">
        <v>422</v>
      </c>
      <c r="C404" s="24" t="s">
        <v>1236</v>
      </c>
      <c r="D404" s="21" t="s">
        <v>27</v>
      </c>
      <c r="E404" s="23"/>
      <c r="F404" s="19" t="s">
        <v>29</v>
      </c>
      <c r="G404" s="20" t="s">
        <v>1237</v>
      </c>
      <c r="H404" s="20"/>
      <c r="I404" s="20" t="s">
        <v>1238</v>
      </c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ht="39.75" customHeight="1">
      <c r="A405" s="18" t="s">
        <v>14</v>
      </c>
      <c r="B405" s="24" t="s">
        <v>422</v>
      </c>
      <c r="C405" s="24" t="s">
        <v>1239</v>
      </c>
      <c r="D405" s="21" t="s">
        <v>27</v>
      </c>
      <c r="E405" s="23"/>
      <c r="F405" s="21"/>
      <c r="G405" s="22"/>
      <c r="H405" s="23"/>
      <c r="I405" s="23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ht="57.75" customHeight="1">
      <c r="A406" s="17" t="s">
        <v>14</v>
      </c>
      <c r="B406" s="17" t="s">
        <v>457</v>
      </c>
      <c r="C406" s="17" t="s">
        <v>1240</v>
      </c>
      <c r="D406" s="21" t="s">
        <v>27</v>
      </c>
      <c r="E406" s="23"/>
      <c r="F406" s="21"/>
      <c r="G406" s="22"/>
      <c r="H406" s="23"/>
      <c r="I406" s="23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ht="39.75" customHeight="1">
      <c r="A407" s="17" t="s">
        <v>9</v>
      </c>
      <c r="B407" s="17" t="s">
        <v>896</v>
      </c>
      <c r="C407" s="17" t="s">
        <v>1241</v>
      </c>
      <c r="D407" s="19" t="s">
        <v>27</v>
      </c>
      <c r="E407" s="23"/>
      <c r="F407" s="21"/>
      <c r="G407" s="22"/>
      <c r="H407" s="23"/>
      <c r="I407" s="20" t="s">
        <v>31</v>
      </c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ht="39.75" customHeight="1">
      <c r="A408" s="54"/>
      <c r="B408" s="54"/>
      <c r="C408" s="54"/>
      <c r="D408" s="55"/>
      <c r="E408" s="56"/>
      <c r="F408" s="55"/>
      <c r="G408" s="47"/>
      <c r="H408" s="56"/>
      <c r="I408" s="56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</sheetData>
  <customSheetViews>
    <customSheetView guid="{920ACB55-E21B-4034-BC25-141469541EEA}" filter="1" showAutoFilter="1">
      <autoFilter ref="$A$1:$I$407"/>
    </customSheetView>
    <customSheetView guid="{DD317CC3-68FC-4287-8FBE-A3F09FA20122}" filter="1" showAutoFilter="1">
      <autoFilter ref="$A$1:$I$288"/>
    </customSheetView>
  </customSheetViews>
  <conditionalFormatting sqref="A2:I408">
    <cfRule type="expression" dxfId="0" priority="1">
      <formula>INDIRECT("B"&amp;ROW())=""</formula>
    </cfRule>
  </conditionalFormatting>
  <conditionalFormatting sqref="A2:I408">
    <cfRule type="expression" dxfId="1" priority="2">
      <formula>MOD(COUNTUNIQUE($B$2:INDIRECT("B"&amp;ROW())),2)=1</formula>
    </cfRule>
  </conditionalFormatting>
  <conditionalFormatting sqref="A1">
    <cfRule type="notContainsBlanks" dxfId="2" priority="3">
      <formula>LEN(TRIM(A1))&gt;0</formula>
    </cfRule>
  </conditionalFormatting>
  <conditionalFormatting sqref="B1">
    <cfRule type="colorScale" priority="4">
      <colorScale>
        <cfvo type="min"/>
        <cfvo type="max"/>
        <color rgb="FFFFFFFF"/>
        <color rgb="FF57BB8A"/>
      </colorScale>
    </cfRule>
  </conditionalFormatting>
  <dataValidations>
    <dataValidation type="list" allowBlank="1" sqref="A2:A408">
      <formula1>洲別</formula1>
    </dataValidation>
    <dataValidation type="list" allowBlank="1" sqref="B78:B194">
      <formula1>'標籤資料'!$E$2:$E$300</formula1>
    </dataValidation>
    <dataValidation type="list" allowBlank="1" sqref="B401">
      <formula1>'標籤資料'!$F$2:$F$300</formula1>
    </dataValidation>
    <dataValidation type="list" allowBlank="1" sqref="B370:B383 B385:B388 B391 B395:B398">
      <formula1>'標籤資料'!$G$2:$G$32</formula1>
    </dataValidation>
    <dataValidation type="list" allowBlank="1" sqref="B402:B405">
      <formula1>'標籤資料'!$F$2:$F$29</formula1>
    </dataValidation>
    <dataValidation type="list" allowBlank="1" sqref="B407">
      <formula1>'標籤資料'!$D$2:$D$300</formula1>
    </dataValidation>
    <dataValidation type="list" allowBlank="1" sqref="B195">
      <formula1>'標籤資料'!$E$2:$E$300</formula1>
    </dataValidation>
    <dataValidation type="list" allowBlank="1" sqref="B2:B11 B208:B271 B273:B369 B384 B389:B390 B392:B394 B399:B400">
      <formula1>'標籤資料'!$G$2:$G$300</formula1>
    </dataValidation>
    <dataValidation type="list" allowBlank="1" sqref="B12:B13 B22:B24">
      <formula1>'標籤資料'!$C$2:$C$300</formula1>
    </dataValidation>
    <dataValidation type="list" allowBlank="1" sqref="B14:B21 B25:B77">
      <formula1>'標籤資料'!$B$2:$B$300</formula1>
    </dataValidation>
    <dataValidation type="list" allowBlank="1" sqref="B196:B207 B406 B408">
      <formula1>'標籤資料'!$F$2:$F$300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sheetData>
    <row r="1">
      <c r="A1" s="2" t="s">
        <v>1</v>
      </c>
      <c r="B1" s="4" t="s">
        <v>4</v>
      </c>
      <c r="C1" s="6" t="s">
        <v>6</v>
      </c>
      <c r="D1" s="7" t="s">
        <v>9</v>
      </c>
      <c r="E1" s="9" t="s">
        <v>11</v>
      </c>
      <c r="F1" s="11" t="s">
        <v>14</v>
      </c>
      <c r="G1" s="12" t="s">
        <v>15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4" t="s">
        <v>4</v>
      </c>
      <c r="B2" s="14" t="str">
        <f t="array" ref="B2">IFERROR(OFFSET('名稱對照'!E$1,SMALL(IF(名稱_所屬洲別="NA",ROW(名稱_所屬洲別),""),row(1:1))-1,0),"")</f>
        <v>加拿大
Canada</v>
      </c>
      <c r="C2" s="14" t="str">
        <f t="array" ref="C2">IFERROR(OFFSET('名稱對照'!E$1,SMALL(IF(名稱_所屬洲別="SA",ROW(名稱_所屬洲別),""),row(1:1))-1,0),"")</f>
        <v>阿根廷
Argentina</v>
      </c>
      <c r="D2" s="14" t="str">
        <f t="array" ref="D2">IFERROR(OFFSET('名稱對照'!E$1,SMALL(IF(名稱_所屬洲別="AF",ROW(名稱_所屬洲別),""),row(1:1))-1,0),"")</f>
        <v>安哥拉
Angola</v>
      </c>
      <c r="E2" s="14" t="str">
        <f t="array" ref="E2">IFERROR(OFFSET('名稱對照'!E$1,SMALL(IF(名稱_所屬洲別="EU",ROW(名稱_所屬洲別),""),row(1:1))-1,0),"")</f>
        <v>阿爾巴尼亞
Albania</v>
      </c>
      <c r="F2" s="16" t="str">
        <f t="array" ref="F2">IFERROR(OFFSET('名稱對照'!E$1,SMALL(IF(名稱_所屬洲別="WA",ROW(名稱_所屬洲別),""),row(1:1))-1,0),"")</f>
        <v>阿富汗
Afghanistan</v>
      </c>
      <c r="G2" s="14" t="str">
        <f t="array" ref="G2">IFERROR(OFFSET('名稱對照'!E$1,SMALL(IF(名稱_所屬洲別="AP",ROW(名稱_所屬洲別),""),row(1:1))-1,0),"")</f>
        <v>澳洲
Australia</v>
      </c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4" t="s">
        <v>6</v>
      </c>
      <c r="B3" s="14" t="str">
        <f t="array" ref="B3">IFERROR(OFFSET('名稱對照'!E$1,SMALL(IF(名稱_所屬洲別="NA",ROW(名稱_所屬洲別),""),row(2:2))-1,0),"")</f>
        <v>美國
USA</v>
      </c>
      <c r="C3" s="14" t="str">
        <f t="array" ref="C3">IFERROR(OFFSET('名稱對照'!E$1,SMALL(IF(名稱_所屬洲別="SA",ROW(名稱_所屬洲別),""),row(2:2))-1,0),"")</f>
        <v>巴哈馬
The Bahamas</v>
      </c>
      <c r="D3" s="14" t="str">
        <f t="array" ref="D3">IFERROR(OFFSET('名稱對照'!E$1,SMALL(IF(名稱_所屬洲別="AF",ROW(名稱_所屬洲別),""),row(2:2))-1,0),"")</f>
        <v>蒲隆地
Burundi</v>
      </c>
      <c r="E3" s="14" t="str">
        <f t="array" ref="E3">IFERROR(OFFSET('名稱對照'!E$1,SMALL(IF(名稱_所屬洲別="EU",ROW(名稱_所屬洲別),""),row(2:2))-1,0),"")</f>
        <v>奧地利
Austria</v>
      </c>
      <c r="F3" s="16" t="str">
        <f t="array" ref="F3">IFERROR(OFFSET('名稱對照'!E$1,SMALL(IF(名稱_所屬洲別="WA",ROW(名稱_所屬洲別),""),row(2:2))-1,0),"")</f>
        <v>阿拉伯聯合大公國
United Arab Emirates</v>
      </c>
      <c r="G3" s="14" t="str">
        <f t="array" ref="G3">IFERROR(OFFSET('名稱對照'!E$1,SMALL(IF(名稱_所屬洲別="AP",ROW(名稱_所屬洲別),""),row(2:2))-1,0),"")</f>
        <v>孟加拉
Bangladesh</v>
      </c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4" t="s">
        <v>9</v>
      </c>
      <c r="B4" s="14" t="str">
        <f t="array" ref="B4">IFERROR(OFFSET('名稱對照'!E$1,SMALL(IF(名稱_所屬洲別="NA",ROW(名稱_所屬洲別),""),row(3:3))-1,0),"")</f>
        <v>格陵蘭
Greenland</v>
      </c>
      <c r="C4" s="14" t="str">
        <f t="array" ref="C4">IFERROR(OFFSET('名稱對照'!E$1,SMALL(IF(名稱_所屬洲別="SA",ROW(名稱_所屬洲別),""),row(3:3))-1,0),"")</f>
        <v>貝里斯
Belize</v>
      </c>
      <c r="D4" s="14" t="str">
        <f t="array" ref="D4">IFERROR(OFFSET('名稱對照'!E$1,SMALL(IF(名稱_所屬洲別="AF",ROW(名稱_所屬洲別),""),row(3:3))-1,0),"")</f>
        <v>貝南
Benin</v>
      </c>
      <c r="E4" s="14" t="str">
        <f t="array" ref="E4">IFERROR(OFFSET('名稱對照'!E$1,SMALL(IF(名稱_所屬洲別="EU",ROW(名稱_所屬洲別),""),row(3:3))-1,0),"")</f>
        <v>比利時
Belgium</v>
      </c>
      <c r="F4" s="16" t="str">
        <f t="array" ref="F4">IFERROR(OFFSET('名稱對照'!E$1,SMALL(IF(名稱_所屬洲別="WA",ROW(名稱_所屬洲別),""),row(3:3))-1,0),"")</f>
        <v>亞美尼亞
Armenia</v>
      </c>
      <c r="G4" s="14" t="str">
        <f t="array" ref="G4">IFERROR(OFFSET('名稱對照'!E$1,SMALL(IF(名稱_所屬洲別="AP",ROW(名稱_所屬洲別),""),row(3:3))-1,0),"")</f>
        <v>汶萊
Brunei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4" t="s">
        <v>11</v>
      </c>
      <c r="B5" s="14" t="str">
        <f t="array" ref="B5">IFERROR(OFFSET('名稱對照'!E$1,SMALL(IF(名稱_所屬洲別="NA",ROW(名稱_所屬洲別),""),row(4:4))-1,0),"")</f>
        <v/>
      </c>
      <c r="C5" s="14" t="str">
        <f t="array" ref="C5">IFERROR(OFFSET('名稱對照'!E$1,SMALL(IF(名稱_所屬洲別="SA",ROW(名稱_所屬洲別),""),row(4:4))-1,0),"")</f>
        <v>玻利維亞
Bolivia</v>
      </c>
      <c r="D5" s="14" t="str">
        <f t="array" ref="D5">IFERROR(OFFSET('名稱對照'!E$1,SMALL(IF(名稱_所屬洲別="AF",ROW(名稱_所屬洲別),""),row(4:4))-1,0),"")</f>
        <v>布吉納法索
Burkina Faso</v>
      </c>
      <c r="E5" s="14" t="str">
        <f t="array" ref="E5">IFERROR(OFFSET('名稱對照'!E$1,SMALL(IF(名稱_所屬洲別="EU",ROW(名稱_所屬洲別),""),row(4:4))-1,0),"")</f>
        <v>保加利亞
Bulgaria</v>
      </c>
      <c r="F5" s="16" t="str">
        <f t="array" ref="F5">IFERROR(OFFSET('名稱對照'!E$1,SMALL(IF(名稱_所屬洲別="WA",ROW(名稱_所屬洲別),""),row(4:4))-1,0),"")</f>
        <v>亞塞拜然共和國
Azerbaijan</v>
      </c>
      <c r="G5" s="14" t="str">
        <f t="array" ref="G5">IFERROR(OFFSET('名稱對照'!E$1,SMALL(IF(名稱_所屬洲別="AP",ROW(名稱_所屬洲別),""),row(4:4))-1,0),"")</f>
        <v>不丹
Bhutan</v>
      </c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4" t="s">
        <v>14</v>
      </c>
      <c r="B6" s="14" t="str">
        <f t="array" ref="B6">IFERROR(OFFSET('名稱對照'!E$1,SMALL(IF(名稱_所屬洲別="NA",ROW(名稱_所屬洲別),""),row(5:5))-1,0),"")</f>
        <v/>
      </c>
      <c r="C6" s="14" t="str">
        <f t="array" ref="C6">IFERROR(OFFSET('名稱對照'!E$1,SMALL(IF(名稱_所屬洲別="SA",ROW(名稱_所屬洲別),""),row(5:5))-1,0),"")</f>
        <v>巴西
Brazil</v>
      </c>
      <c r="D6" s="14" t="str">
        <f t="array" ref="D6">IFERROR(OFFSET('名稱對照'!E$1,SMALL(IF(名稱_所屬洲別="AF",ROW(名稱_所屬洲別),""),row(5:5))-1,0),"")</f>
        <v>波札那
Botswana</v>
      </c>
      <c r="E6" s="14" t="str">
        <f t="array" ref="E6">IFERROR(OFFSET('名稱對照'!E$1,SMALL(IF(名稱_所屬洲別="EU",ROW(名稱_所屬洲別),""),row(5:5))-1,0),"")</f>
        <v>波士尼亞與赫塞哥維納
Bosnia and Herzegovina</v>
      </c>
      <c r="F6" s="16" t="str">
        <f t="array" ref="F6">IFERROR(OFFSET('名稱對照'!E$1,SMALL(IF(名稱_所屬洲別="WA",ROW(名稱_所屬洲別),""),row(5:5))-1,0),"")</f>
        <v>賽普勒斯
Cyprus</v>
      </c>
      <c r="G6" s="14" t="str">
        <f t="array" ref="G6">IFERROR(OFFSET('名稱對照'!E$1,SMALL(IF(名稱_所屬洲別="AP",ROW(名稱_所屬洲別),""),row(5:5))-1,0),"")</f>
        <v>大陸地區
Mainland China</v>
      </c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4" t="s">
        <v>15</v>
      </c>
      <c r="B7" s="14" t="str">
        <f t="array" ref="B7">IFERROR(OFFSET('名稱對照'!E$1,SMALL(IF(名稱_所屬洲別="NA",ROW(名稱_所屬洲別),""),row(6:6))-1,0),"")</f>
        <v/>
      </c>
      <c r="C7" s="14" t="str">
        <f t="array" ref="C7">IFERROR(OFFSET('名稱對照'!E$1,SMALL(IF(名稱_所屬洲別="SA",ROW(名稱_所屬洲別),""),row(6:6))-1,0),"")</f>
        <v>智利
Chile</v>
      </c>
      <c r="D7" s="14" t="str">
        <f t="array" ref="D7">IFERROR(OFFSET('名稱對照'!E$1,SMALL(IF(名稱_所屬洲別="AF",ROW(名稱_所屬洲別),""),row(6:6))-1,0),"")</f>
        <v>中非共和國
Central African Republic</v>
      </c>
      <c r="E7" s="14" t="str">
        <f t="array" ref="E7">IFERROR(OFFSET('名稱對照'!E$1,SMALL(IF(名稱_所屬洲別="EU",ROW(名稱_所屬洲別),""),row(6:6))-1,0),"")</f>
        <v>白俄羅斯
Belarus</v>
      </c>
      <c r="F7" s="16" t="str">
        <f t="array" ref="F7">IFERROR(OFFSET('名稱對照'!E$1,SMALL(IF(名稱_所屬洲別="WA",ROW(名稱_所屬洲別),""),row(6:6))-1,0),"")</f>
        <v>喬治亞
Georgia</v>
      </c>
      <c r="G7" s="14" t="str">
        <f t="array" ref="G7">IFERROR(OFFSET('名稱對照'!E$1,SMALL(IF(名稱_所屬洲別="AP",ROW(名稱_所屬洲別),""),row(6:6))-1,0),"")</f>
        <v>斐濟
Fiji</v>
      </c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6"/>
      <c r="B8" s="14" t="str">
        <f t="array" ref="B8">IFERROR(OFFSET('名稱對照'!E$1,SMALL(IF(名稱_所屬洲別="NA",ROW(名稱_所屬洲別),""),row(7:7))-1,0),"")</f>
        <v/>
      </c>
      <c r="C8" s="14" t="str">
        <f t="array" ref="C8">IFERROR(OFFSET('名稱對照'!E$1,SMALL(IF(名稱_所屬洲別="SA",ROW(名稱_所屬洲別),""),row(7:7))-1,0),"")</f>
        <v>哥倫比亞
Colombia</v>
      </c>
      <c r="D8" s="14" t="str">
        <f t="array" ref="D8">IFERROR(OFFSET('名稱對照'!E$1,SMALL(IF(名稱_所屬洲別="AF",ROW(名稱_所屬洲別),""),row(7:7))-1,0),"")</f>
        <v>象牙海岸
Ivory Coast</v>
      </c>
      <c r="E8" s="14" t="str">
        <f t="array" ref="E8">IFERROR(OFFSET('名稱對照'!E$1,SMALL(IF(名稱_所屬洲別="EU",ROW(名稱_所屬洲別),""),row(7:7))-1,0),"")</f>
        <v>瑞士
Switzerland</v>
      </c>
      <c r="F8" s="16" t="str">
        <f t="array" ref="F8">IFERROR(OFFSET('名稱對照'!E$1,SMALL(IF(名稱_所屬洲別="WA",ROW(名稱_所屬洲別),""),row(7:7))-1,0),"")</f>
        <v>伊朗
Iran</v>
      </c>
      <c r="G8" s="14" t="str">
        <f t="array" ref="G8">IFERROR(OFFSET('名稱對照'!E$1,SMALL(IF(名稱_所屬洲別="AP",ROW(名稱_所屬洲別),""),row(7:7))-1,0),"")</f>
        <v>印尼
Indonesia</v>
      </c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6"/>
      <c r="B9" s="14" t="str">
        <f t="array" ref="B9">IFERROR(OFFSET('名稱對照'!E$1,SMALL(IF(名稱_所屬洲別="NA",ROW(名稱_所屬洲別),""),row(8:8))-1,0),"")</f>
        <v/>
      </c>
      <c r="C9" s="14" t="str">
        <f t="array" ref="C9">IFERROR(OFFSET('名稱對照'!E$1,SMALL(IF(名稱_所屬洲別="SA",ROW(名稱_所屬洲別),""),row(8:8))-1,0),"")</f>
        <v>哥斯大黎加
Costa Rica</v>
      </c>
      <c r="D9" s="14" t="str">
        <f t="array" ref="D9">IFERROR(OFFSET('名稱對照'!E$1,SMALL(IF(名稱_所屬洲別="AF",ROW(名稱_所屬洲別),""),row(8:8))-1,0),"")</f>
        <v>喀麥隆
Cameroon</v>
      </c>
      <c r="E9" s="14" t="str">
        <f t="array" ref="E9">IFERROR(OFFSET('名稱對照'!E$1,SMALL(IF(名稱_所屬洲別="EU",ROW(名稱_所屬洲別),""),row(8:8))-1,0),"")</f>
        <v>捷克
Czech Republic</v>
      </c>
      <c r="F9" s="16" t="str">
        <f t="array" ref="F9">IFERROR(OFFSET('名稱對照'!E$1,SMALL(IF(名稱_所屬洲別="WA",ROW(名稱_所屬洲別),""),row(8:8))-1,0),"")</f>
        <v>伊拉克
Iraq</v>
      </c>
      <c r="G9" s="14" t="str">
        <f t="array" ref="G9">IFERROR(OFFSET('名稱對照'!E$1,SMALL(IF(名稱_所屬洲別="AP",ROW(名稱_所屬洲別),""),row(8:8))-1,0),"")</f>
        <v>印度
India</v>
      </c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6"/>
      <c r="B10" s="14" t="str">
        <f t="array" ref="B10">IFERROR(OFFSET('名稱對照'!E$1,SMALL(IF(名稱_所屬洲別="NA",ROW(名稱_所屬洲別),""),row(9:9))-1,0),"")</f>
        <v/>
      </c>
      <c r="C10" s="14" t="str">
        <f t="array" ref="C10">IFERROR(OFFSET('名稱對照'!E$1,SMALL(IF(名稱_所屬洲別="SA",ROW(名稱_所屬洲別),""),row(9:9))-1,0),"")</f>
        <v>古巴
Cuba</v>
      </c>
      <c r="D10" s="14" t="str">
        <f t="array" ref="D10">IFERROR(OFFSET('名稱對照'!E$1,SMALL(IF(名稱_所屬洲別="AF",ROW(名稱_所屬洲別),""),row(9:9))-1,0),"")</f>
        <v>剛果民主共和國
Democratic Republic of the Congo</v>
      </c>
      <c r="E10" s="14" t="str">
        <f t="array" ref="E10">IFERROR(OFFSET('名稱對照'!E$1,SMALL(IF(名稱_所屬洲別="EU",ROW(名稱_所屬洲別),""),row(9:9))-1,0),"")</f>
        <v>德國
Germany</v>
      </c>
      <c r="F10" s="16" t="str">
        <f t="array" ref="F10">IFERROR(OFFSET('名稱對照'!E$1,SMALL(IF(名稱_所屬洲別="WA",ROW(名稱_所屬洲別),""),row(9:9))-1,0),"")</f>
        <v>以色列
Israel</v>
      </c>
      <c r="G10" s="14" t="str">
        <f t="array" ref="G10">IFERROR(OFFSET('名稱對照'!E$1,SMALL(IF(名稱_所屬洲別="AP",ROW(名稱_所屬洲別),""),row(9:9))-1,0),"")</f>
        <v>日本
Japan</v>
      </c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6"/>
      <c r="B11" s="14" t="str">
        <f t="array" ref="B11">IFERROR(OFFSET('名稱對照'!E$1,SMALL(IF(名稱_所屬洲別="NA",ROW(名稱_所屬洲別),""),row(10:10))-1,0),"")</f>
        <v/>
      </c>
      <c r="C11" s="14" t="str">
        <f t="array" ref="C11">IFERROR(OFFSET('名稱對照'!E$1,SMALL(IF(名稱_所屬洲別="SA",ROW(名稱_所屬洲別),""),row(10:10))-1,0),"")</f>
        <v>多明尼加
Dominican Republic</v>
      </c>
      <c r="D11" s="14" t="str">
        <f t="array" ref="D11">IFERROR(OFFSET('名稱對照'!E$1,SMALL(IF(名稱_所屬洲別="AF",ROW(名稱_所屬洲別),""),row(10:10))-1,0),"")</f>
        <v>剛果共和國
Republic of the Congo</v>
      </c>
      <c r="E11" s="14" t="str">
        <f t="array" ref="E11">IFERROR(OFFSET('名稱對照'!E$1,SMALL(IF(名稱_所屬洲別="EU",ROW(名稱_所屬洲別),""),row(10:10))-1,0),"")</f>
        <v>丹麥
Denmark</v>
      </c>
      <c r="F11" s="16" t="str">
        <f t="array" ref="F11">IFERROR(OFFSET('名稱對照'!E$1,SMALL(IF(名稱_所屬洲別="WA",ROW(名稱_所屬洲別),""),row(10:10))-1,0),"")</f>
        <v>約旦
Jordan</v>
      </c>
      <c r="G11" s="14" t="str">
        <f t="array" ref="G11">IFERROR(OFFSET('名稱對照'!E$1,SMALL(IF(名稱_所屬洲別="AP",ROW(名稱_所屬洲別),""),row(10:10))-1,0),"")</f>
        <v>柬埔寨
Cambodia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6"/>
      <c r="B12" s="14" t="str">
        <f t="array" ref="B12">IFERROR(OFFSET('名稱對照'!E$1,SMALL(IF(名稱_所屬洲別="NA",ROW(名稱_所屬洲別),""),row(11:11))-1,0),"")</f>
        <v/>
      </c>
      <c r="C12" s="14" t="str">
        <f t="array" ref="C12">IFERROR(OFFSET('名稱對照'!E$1,SMALL(IF(名稱_所屬洲別="SA",ROW(名稱_所屬洲別),""),row(11:11))-1,0),"")</f>
        <v>厄瓜多
Ecuador</v>
      </c>
      <c r="D12" s="14" t="str">
        <f t="array" ref="D12">IFERROR(OFFSET('名稱對照'!E$1,SMALL(IF(名稱_所屬洲別="AF",ROW(名稱_所屬洲別),""),row(11:11))-1,0),"")</f>
        <v>吉布地
Djibouti</v>
      </c>
      <c r="E12" s="14" t="str">
        <f t="array" ref="E12">IFERROR(OFFSET('名稱對照'!E$1,SMALL(IF(名稱_所屬洲別="EU",ROW(名稱_所屬洲別),""),row(11:11))-1,0),"")</f>
        <v>西班牙
Spain</v>
      </c>
      <c r="F12" s="16" t="str">
        <f t="array" ref="F12">IFERROR(OFFSET('名稱對照'!E$1,SMALL(IF(名稱_所屬洲別="WA",ROW(名稱_所屬洲別),""),row(11:11))-1,0),"")</f>
        <v>哈薩克
Kazakhstan</v>
      </c>
      <c r="G12" s="14" t="str">
        <f t="array" ref="G12">IFERROR(OFFSET('名稱對照'!E$1,SMALL(IF(名稱_所屬洲別="AP",ROW(名稱_所屬洲別),""),row(11:11))-1,0),"")</f>
        <v>韓國
South Korea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6"/>
      <c r="B13" s="14" t="str">
        <f t="array" ref="B13">IFERROR(OFFSET('名稱對照'!E$1,SMALL(IF(名稱_所屬洲別="NA",ROW(名稱_所屬洲別),""),row(12:12))-1,0),"")</f>
        <v/>
      </c>
      <c r="C13" s="14" t="str">
        <f t="array" ref="C13">IFERROR(OFFSET('名稱對照'!E$1,SMALL(IF(名稱_所屬洲別="SA",ROW(名稱_所屬洲別),""),row(12:12))-1,0),"")</f>
        <v>福克蘭群島
Falkland Islands</v>
      </c>
      <c r="D13" s="14" t="str">
        <f t="array" ref="D13">IFERROR(OFFSET('名稱對照'!E$1,SMALL(IF(名稱_所屬洲別="AF",ROW(名稱_所屬洲別),""),row(12:12))-1,0),"")</f>
        <v>阿爾及利亞
Algeria</v>
      </c>
      <c r="E13" s="14" t="str">
        <f t="array" ref="E13">IFERROR(OFFSET('名稱對照'!E$1,SMALL(IF(名稱_所屬洲別="EU",ROW(名稱_所屬洲別),""),row(12:12))-1,0),"")</f>
        <v>愛沙尼亞
Estonia</v>
      </c>
      <c r="F13" s="16" t="str">
        <f t="array" ref="F13">IFERROR(OFFSET('名稱對照'!E$1,SMALL(IF(名稱_所屬洲別="WA",ROW(名稱_所屬洲別),""),row(12:12))-1,0),"")</f>
        <v>吉爾吉斯
Kyrgyzstan</v>
      </c>
      <c r="G13" s="14" t="str">
        <f t="array" ref="G13">IFERROR(OFFSET('名稱對照'!E$1,SMALL(IF(名稱_所屬洲別="AP",ROW(名稱_所屬洲別),""),row(12:12))-1,0),"")</f>
        <v>寮國
Laos</v>
      </c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6"/>
      <c r="B14" s="14" t="str">
        <f t="array" ref="B14">IFERROR(OFFSET('名稱對照'!E$1,SMALL(IF(名稱_所屬洲別="NA",ROW(名稱_所屬洲別),""),row(13:13))-1,0),"")</f>
        <v/>
      </c>
      <c r="C14" s="14" t="str">
        <f t="array" ref="C14">IFERROR(OFFSET('名稱對照'!E$1,SMALL(IF(名稱_所屬洲別="SA",ROW(名稱_所屬洲別),""),row(13:13))-1,0),"")</f>
        <v>法屬圭亞那
French Guiana</v>
      </c>
      <c r="D14" s="14" t="str">
        <f t="array" ref="D14">IFERROR(OFFSET('名稱對照'!E$1,SMALL(IF(名稱_所屬洲別="AF",ROW(名稱_所屬洲別),""),row(13:13))-1,0),"")</f>
        <v>埃及
Egypt</v>
      </c>
      <c r="E14" s="14" t="str">
        <f t="array" ref="E14">IFERROR(OFFSET('名稱對照'!E$1,SMALL(IF(名稱_所屬洲別="EU",ROW(名稱_所屬洲別),""),row(13:13))-1,0),"")</f>
        <v>芬蘭
Finland</v>
      </c>
      <c r="F14" s="16" t="str">
        <f t="array" ref="F14">IFERROR(OFFSET('名稱對照'!E$1,SMALL(IF(名稱_所屬洲別="WA",ROW(名稱_所屬洲別),""),row(13:13))-1,0),"")</f>
        <v>科威特
Kuwait</v>
      </c>
      <c r="G14" s="14" t="str">
        <f t="array" ref="G14">IFERROR(OFFSET('名稱對照'!E$1,SMALL(IF(名稱_所屬洲別="AP",ROW(名稱_所屬洲別),""),row(13:13))-1,0),"")</f>
        <v>斯里蘭卡
Sri Lanka</v>
      </c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6"/>
      <c r="B15" s="14" t="str">
        <f t="array" ref="B15">IFERROR(OFFSET('名稱對照'!E$1,SMALL(IF(名稱_所屬洲別="NA",ROW(名稱_所屬洲別),""),row(14:14))-1,0),"")</f>
        <v/>
      </c>
      <c r="C15" s="14" t="str">
        <f t="array" ref="C15">IFERROR(OFFSET('名稱對照'!E$1,SMALL(IF(名稱_所屬洲別="SA",ROW(名稱_所屬洲別),""),row(14:14))-1,0),"")</f>
        <v>瓜地馬拉
Guatemala</v>
      </c>
      <c r="D15" s="14" t="str">
        <f t="array" ref="D15">IFERROR(OFFSET('名稱對照'!E$1,SMALL(IF(名稱_所屬洲別="AF",ROW(名稱_所屬洲別),""),row(14:14))-1,0),"")</f>
        <v>厄利垂亞
Eritrea</v>
      </c>
      <c r="E15" s="14" t="str">
        <f t="array" ref="E15">IFERROR(OFFSET('名稱對照'!E$1,SMALL(IF(名稱_所屬洲別="EU",ROW(名稱_所屬洲別),""),row(14:14))-1,0),"")</f>
        <v>法國
France</v>
      </c>
      <c r="F15" s="16" t="str">
        <f t="array" ref="F15">IFERROR(OFFSET('名稱對照'!E$1,SMALL(IF(名稱_所屬洲別="WA",ROW(名稱_所屬洲別),""),row(14:14))-1,0),"")</f>
        <v>黎巴嫩
Lebanon</v>
      </c>
      <c r="G15" s="14" t="str">
        <f t="array" ref="G15">IFERROR(OFFSET('名稱對照'!E$1,SMALL(IF(名稱_所屬洲別="AP",ROW(名稱_所屬洲別),""),row(14:14))-1,0),"")</f>
        <v>緬甸
Myanmar</v>
      </c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6"/>
      <c r="B16" s="14" t="str">
        <f t="array" ref="B16">IFERROR(OFFSET('名稱對照'!E$1,SMALL(IF(名稱_所屬洲別="NA",ROW(名稱_所屬洲別),""),row(15:15))-1,0),"")</f>
        <v/>
      </c>
      <c r="C16" s="14" t="str">
        <f t="array" ref="C16">IFERROR(OFFSET('名稱對照'!E$1,SMALL(IF(名稱_所屬洲別="SA",ROW(名稱_所屬洲別),""),row(15:15))-1,0),"")</f>
        <v>蓋亞那
Guyana</v>
      </c>
      <c r="D16" s="14" t="str">
        <f t="array" ref="D16">IFERROR(OFFSET('名稱對照'!E$1,SMALL(IF(名稱_所屬洲別="AF",ROW(名稱_所屬洲別),""),row(15:15))-1,0),"")</f>
        <v>衣索比亞
Ethiopia</v>
      </c>
      <c r="E16" s="14" t="str">
        <f t="array" ref="E16">IFERROR(OFFSET('名稱對照'!E$1,SMALL(IF(名稱_所屬洲別="EU",ROW(名稱_所屬洲別),""),row(15:15))-1,0),"")</f>
        <v>英國
United Kingdom</v>
      </c>
      <c r="F16" s="16" t="str">
        <f t="array" ref="F16">IFERROR(OFFSET('名稱對照'!E$1,SMALL(IF(名稱_所屬洲別="WA",ROW(名稱_所屬洲別),""),row(15:15))-1,0),"")</f>
        <v>蒙古國
Mongolia</v>
      </c>
      <c r="G16" s="14" t="str">
        <f t="array" ref="G16">IFERROR(OFFSET('名稱對照'!E$1,SMALL(IF(名稱_所屬洲別="AP",ROW(名稱_所屬洲別),""),row(15:15))-1,0),"")</f>
        <v>馬來西亞
Malaysia</v>
      </c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6"/>
      <c r="B17" s="14" t="str">
        <f t="array" ref="B17">IFERROR(OFFSET('名稱對照'!E$1,SMALL(IF(名稱_所屬洲別="NA",ROW(名稱_所屬洲別),""),row(16:16))-1,0),"")</f>
        <v/>
      </c>
      <c r="C17" s="14" t="str">
        <f t="array" ref="C17">IFERROR(OFFSET('名稱對照'!E$1,SMALL(IF(名稱_所屬洲別="SA",ROW(名稱_所屬洲別),""),row(16:16))-1,0),"")</f>
        <v>宏都拉斯
Honduras</v>
      </c>
      <c r="D17" s="14" t="str">
        <f t="array" ref="D17">IFERROR(OFFSET('名稱對照'!E$1,SMALL(IF(名稱_所屬洲別="AF",ROW(名稱_所屬洲別),""),row(16:16))-1,0),"")</f>
        <v>加彭
Gabon</v>
      </c>
      <c r="E17" s="14" t="str">
        <f t="array" ref="E17">IFERROR(OFFSET('名稱對照'!E$1,SMALL(IF(名稱_所屬洲別="EU",ROW(名稱_所屬洲別),""),row(16:16))-1,0),"")</f>
        <v>希臘
Greece</v>
      </c>
      <c r="F17" s="16" t="str">
        <f t="array" ref="F17">IFERROR(OFFSET('名稱對照'!E$1,SMALL(IF(名稱_所屬洲別="WA",ROW(名稱_所屬洲別),""),row(16:16))-1,0),"")</f>
        <v>阿曼
Oman</v>
      </c>
      <c r="G17" s="14" t="str">
        <f t="array" ref="G17">IFERROR(OFFSET('名稱對照'!E$1,SMALL(IF(名稱_所屬洲別="AP",ROW(名稱_所屬洲別),""),row(16:16))-1,0),"")</f>
        <v>新喀里多尼亞
New Caledonia</v>
      </c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6"/>
      <c r="B18" s="14" t="str">
        <f t="array" ref="B18">IFERROR(OFFSET('名稱對照'!E$1,SMALL(IF(名稱_所屬洲別="NA",ROW(名稱_所屬洲別),""),row(17:17))-1,0),"")</f>
        <v/>
      </c>
      <c r="C18" s="14" t="str">
        <f t="array" ref="C18">IFERROR(OFFSET('名稱對照'!E$1,SMALL(IF(名稱_所屬洲別="SA",ROW(名稱_所屬洲別),""),row(17:17))-1,0),"")</f>
        <v>海地
Haiti</v>
      </c>
      <c r="D18" s="14" t="str">
        <f t="array" ref="D18">IFERROR(OFFSET('名稱對照'!E$1,SMALL(IF(名稱_所屬洲別="AF",ROW(名稱_所屬洲別),""),row(17:17))-1,0),"")</f>
        <v>迦納
Ghana</v>
      </c>
      <c r="E18" s="14" t="str">
        <f t="array" ref="E18">IFERROR(OFFSET('名稱對照'!E$1,SMALL(IF(名稱_所屬洲別="EU",ROW(名稱_所屬洲別),""),row(17:17))-1,0),"")</f>
        <v>克羅埃西亞
Croatia</v>
      </c>
      <c r="F18" s="16" t="str">
        <f t="array" ref="F18">IFERROR(OFFSET('名稱對照'!E$1,SMALL(IF(名稱_所屬洲別="WA",ROW(名稱_所屬洲別),""),row(17:17))-1,0),"")</f>
        <v>巴基斯坦
Pakistan</v>
      </c>
      <c r="G18" s="14" t="str">
        <f t="array" ref="G18">IFERROR(OFFSET('名稱對照'!E$1,SMALL(IF(名稱_所屬洲別="AP",ROW(名稱_所屬洲別),""),row(17:17))-1,0),"")</f>
        <v>尼泊爾
Nepal</v>
      </c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6"/>
      <c r="B19" s="14" t="str">
        <f t="array" ref="B19">IFERROR(OFFSET('名稱對照'!E$1,SMALL(IF(名稱_所屬洲別="NA",ROW(名稱_所屬洲別),""),row(18:18))-1,0),"")</f>
        <v/>
      </c>
      <c r="C19" s="14" t="str">
        <f t="array" ref="C19">IFERROR(OFFSET('名稱對照'!E$1,SMALL(IF(名稱_所屬洲別="SA",ROW(名稱_所屬洲別),""),row(18:18))-1,0),"")</f>
        <v>牙買加
Jamaica</v>
      </c>
      <c r="D19" s="14" t="str">
        <f t="array" ref="D19">IFERROR(OFFSET('名稱對照'!E$1,SMALL(IF(名稱_所屬洲別="AF",ROW(名稱_所屬洲別),""),row(18:18))-1,0),"")</f>
        <v>幾內亞
Guinea</v>
      </c>
      <c r="E19" s="14" t="str">
        <f t="array" ref="E19">IFERROR(OFFSET('名稱對照'!E$1,SMALL(IF(名稱_所屬洲別="EU",ROW(名稱_所屬洲別),""),row(18:18))-1,0),"")</f>
        <v>匈牙利
Hungary</v>
      </c>
      <c r="F19" s="16" t="str">
        <f t="array" ref="F19">IFERROR(OFFSET('名稱對照'!E$1,SMALL(IF(名稱_所屬洲別="WA",ROW(名稱_所屬洲別),""),row(18:18))-1,0),"")</f>
        <v>卡達
Qatar</v>
      </c>
      <c r="G19" s="14" t="str">
        <f t="array" ref="G19">IFERROR(OFFSET('名稱對照'!E$1,SMALL(IF(名稱_所屬洲別="AP",ROW(名稱_所屬洲別),""),row(18:18))-1,0),"")</f>
        <v>紐西蘭
New Zealand</v>
      </c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6"/>
      <c r="B20" s="14" t="str">
        <f t="array" ref="B20">IFERROR(OFFSET('名稱對照'!E$1,SMALL(IF(名稱_所屬洲別="NA",ROW(名稱_所屬洲別),""),row(19:19))-1,0),"")</f>
        <v/>
      </c>
      <c r="C20" s="14" t="str">
        <f t="array" ref="C20">IFERROR(OFFSET('名稱對照'!E$1,SMALL(IF(名稱_所屬洲別="SA",ROW(名稱_所屬洲別),""),row(19:19))-1,0),"")</f>
        <v>墨西哥
Mexico</v>
      </c>
      <c r="D20" s="14" t="str">
        <f t="array" ref="D20">IFERROR(OFFSET('名稱對照'!E$1,SMALL(IF(名稱_所屬洲別="AF",ROW(名稱_所屬洲別),""),row(19:19))-1,0),"")</f>
        <v>甘比亞
Gambia</v>
      </c>
      <c r="E20" s="14" t="str">
        <f t="array" ref="E20">IFERROR(OFFSET('名稱對照'!E$1,SMALL(IF(名稱_所屬洲別="EU",ROW(名稱_所屬洲別),""),row(19:19))-1,0),"")</f>
        <v>愛爾蘭島
Ireland</v>
      </c>
      <c r="F20" s="16" t="str">
        <f t="array" ref="F20">IFERROR(OFFSET('名稱對照'!E$1,SMALL(IF(名稱_所屬洲別="WA",ROW(名稱_所屬洲別),""),row(19:19))-1,0),"")</f>
        <v>俄羅斯
Russia</v>
      </c>
      <c r="G20" s="14" t="str">
        <f t="array" ref="G20">IFERROR(OFFSET('名稱對照'!E$1,SMALL(IF(名稱_所屬洲別="AP",ROW(名稱_所屬洲別),""),row(19:19))-1,0),"")</f>
        <v>菲律賓
Philippines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6"/>
      <c r="B21" s="14" t="str">
        <f t="array" ref="B21">IFERROR(OFFSET('名稱對照'!E$1,SMALL(IF(名稱_所屬洲別="NA",ROW(名稱_所屬洲別),""),row(20:20))-1,0),"")</f>
        <v/>
      </c>
      <c r="C21" s="14" t="str">
        <f t="array" ref="C21">IFERROR(OFFSET('名稱對照'!E$1,SMALL(IF(名稱_所屬洲別="SA",ROW(名稱_所屬洲別),""),row(20:20))-1,0),"")</f>
        <v>尼加拉瓜
Nicaragua</v>
      </c>
      <c r="D21" s="14" t="str">
        <f t="array" ref="D21">IFERROR(OFFSET('名稱對照'!E$1,SMALL(IF(名稱_所屬洲別="AF",ROW(名稱_所屬洲別),""),row(20:20))-1,0),"")</f>
        <v>幾內亞比索
Guinea Bissau</v>
      </c>
      <c r="E21" s="14" t="str">
        <f t="array" ref="E21">IFERROR(OFFSET('名稱對照'!E$1,SMALL(IF(名稱_所屬洲別="EU",ROW(名稱_所屬洲別),""),row(20:20))-1,0),"")</f>
        <v>冰島
Iceland</v>
      </c>
      <c r="F21" s="16" t="str">
        <f t="array" ref="F21">IFERROR(OFFSET('名稱對照'!E$1,SMALL(IF(名稱_所屬洲別="WA",ROW(名稱_所屬洲別),""),row(20:20))-1,0),"")</f>
        <v>沙烏地阿拉伯
Saudi Arabia</v>
      </c>
      <c r="G21" s="14" t="str">
        <f t="array" ref="G21">IFERROR(OFFSET('名稱對照'!E$1,SMALL(IF(名稱_所屬洲別="AP",ROW(名稱_所屬洲別),""),row(20:20))-1,0),"")</f>
        <v>巴布亞紐幾內亞
Papua New Guinea</v>
      </c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6"/>
      <c r="B22" s="14" t="str">
        <f t="array" ref="B22">IFERROR(OFFSET('名稱對照'!E$1,SMALL(IF(名稱_所屬洲別="NA",ROW(名稱_所屬洲別),""),row(21:21))-1,0),"")</f>
        <v/>
      </c>
      <c r="C22" s="14" t="str">
        <f t="array" ref="C22">IFERROR(OFFSET('名稱對照'!E$1,SMALL(IF(名稱_所屬洲別="SA",ROW(名稱_所屬洲別),""),row(21:21))-1,0),"")</f>
        <v>巴拿馬
Panama</v>
      </c>
      <c r="D22" s="14" t="str">
        <f t="array" ref="D22">IFERROR(OFFSET('名稱對照'!E$1,SMALL(IF(名稱_所屬洲別="AF",ROW(名稱_所屬洲別),""),row(21:21))-1,0),"")</f>
        <v>赤道幾內亞
Equatorial Guinea</v>
      </c>
      <c r="E22" s="14" t="str">
        <f t="array" ref="E22">IFERROR(OFFSET('名稱對照'!E$1,SMALL(IF(名稱_所屬洲別="EU",ROW(名稱_所屬洲別),""),row(21:21))-1,0),"")</f>
        <v>義大利
Italy</v>
      </c>
      <c r="F22" s="16" t="str">
        <f t="array" ref="F22">IFERROR(OFFSET('名稱對照'!E$1,SMALL(IF(名稱_所屬洲別="WA",ROW(名稱_所屬洲別),""),row(21:21))-1,0),"")</f>
        <v>敘利亞
Syria</v>
      </c>
      <c r="G22" s="14" t="str">
        <f t="array" ref="G22">IFERROR(OFFSET('名稱對照'!E$1,SMALL(IF(名稱_所屬洲別="AP",ROW(名稱_所屬洲別),""),row(21:21))-1,0),"")</f>
        <v>朝鮮民主主義人民共和國
North Korea</v>
      </c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6"/>
      <c r="B23" s="14" t="str">
        <f t="array" ref="B23">IFERROR(OFFSET('名稱對照'!E$1,SMALL(IF(名稱_所屬洲別="NA",ROW(名稱_所屬洲別),""),row(22:22))-1,0),"")</f>
        <v/>
      </c>
      <c r="C23" s="14" t="str">
        <f t="array" ref="C23">IFERROR(OFFSET('名稱對照'!E$1,SMALL(IF(名稱_所屬洲別="SA",ROW(名稱_所屬洲別),""),row(22:22))-1,0),"")</f>
        <v>秘魯
Peru</v>
      </c>
      <c r="D23" s="14" t="str">
        <f t="array" ref="D23">IFERROR(OFFSET('名稱對照'!E$1,SMALL(IF(名稱_所屬洲別="AF",ROW(名稱_所屬洲別),""),row(22:22))-1,0),"")</f>
        <v>肯亞
Kenya</v>
      </c>
      <c r="E23" s="14" t="str">
        <f t="array" ref="E23">IFERROR(OFFSET('名稱對照'!E$1,SMALL(IF(名稱_所屬洲別="EU",ROW(名稱_所屬洲別),""),row(22:22))-1,0),"")</f>
        <v>立陶宛
Lithuania</v>
      </c>
      <c r="F23" s="16" t="str">
        <f t="array" ref="F23">IFERROR(OFFSET('名稱對照'!E$1,SMALL(IF(名稱_所屬洲別="WA",ROW(名稱_所屬洲別),""),row(22:22))-1,0),"")</f>
        <v>塔吉克
Tajikistan</v>
      </c>
      <c r="G23" s="14" t="str">
        <f t="array" ref="G23">IFERROR(OFFSET('名稱對照'!E$1,SMALL(IF(名稱_所屬洲別="AP",ROW(名稱_所屬洲別),""),row(22:22))-1,0),"")</f>
        <v>索羅門群島
Solomon Islands</v>
      </c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6"/>
      <c r="B24" s="14" t="str">
        <f t="array" ref="B24">IFERROR(OFFSET('名稱對照'!E$1,SMALL(IF(名稱_所屬洲別="NA",ROW(名稱_所屬洲別),""),row(23:23))-1,0),"")</f>
        <v/>
      </c>
      <c r="C24" s="14" t="str">
        <f t="array" ref="C24">IFERROR(OFFSET('名稱對照'!E$1,SMALL(IF(名稱_所屬洲別="SA",ROW(名稱_所屬洲別),""),row(23:23))-1,0),"")</f>
        <v>波多黎各
Puerto Rico</v>
      </c>
      <c r="D24" s="14" t="str">
        <f t="array" ref="D24">IFERROR(OFFSET('名稱對照'!E$1,SMALL(IF(名稱_所屬洲別="AF",ROW(名稱_所屬洲別),""),row(23:23))-1,0),"")</f>
        <v>賴比瑞亞
Liberia</v>
      </c>
      <c r="E24" s="14" t="str">
        <f t="array" ref="E24">IFERROR(OFFSET('名稱對照'!E$1,SMALL(IF(名稱_所屬洲別="EU",ROW(名稱_所屬洲別),""),row(23:23))-1,0),"")</f>
        <v>盧森堡
Luxembourg</v>
      </c>
      <c r="F24" s="16" t="str">
        <f t="array" ref="F24">IFERROR(OFFSET('名稱對照'!E$1,SMALL(IF(名稱_所屬洲別="WA",ROW(名稱_所屬洲別),""),row(23:23))-1,0),"")</f>
        <v>土庫曼
Turkmenistan</v>
      </c>
      <c r="G24" s="14" t="str">
        <f t="array" ref="G24">IFERROR(OFFSET('名稱對照'!E$1,SMALL(IF(名稱_所屬洲別="AP",ROW(名稱_所屬洲別),""),row(23:23))-1,0),"")</f>
        <v>泰國
Thailand</v>
      </c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6"/>
      <c r="B25" s="14" t="str">
        <f t="array" ref="B25">IFERROR(OFFSET('名稱對照'!E$1,SMALL(IF(名稱_所屬洲別="NA",ROW(名稱_所屬洲別),""),row(24:24))-1,0),"")</f>
        <v/>
      </c>
      <c r="C25" s="14" t="str">
        <f t="array" ref="C25">IFERROR(OFFSET('名稱對照'!E$1,SMALL(IF(名稱_所屬洲別="SA",ROW(名稱_所屬洲別),""),row(24:24))-1,0),"")</f>
        <v>巴拉圭
Paraguay</v>
      </c>
      <c r="D25" s="14" t="str">
        <f t="array" ref="D25">IFERROR(OFFSET('名稱對照'!E$1,SMALL(IF(名稱_所屬洲別="AF",ROW(名稱_所屬洲別),""),row(24:24))-1,0),"")</f>
        <v>利比亞
Libya</v>
      </c>
      <c r="E25" s="14" t="str">
        <f t="array" ref="E25">IFERROR(OFFSET('名稱對照'!E$1,SMALL(IF(名稱_所屬洲別="EU",ROW(名稱_所屬洲別),""),row(24:24))-1,0),"")</f>
        <v>拉脫維亞
Latvia</v>
      </c>
      <c r="F25" s="16" t="str">
        <f t="array" ref="F25">IFERROR(OFFSET('名稱對照'!E$1,SMALL(IF(名稱_所屬洲別="WA",ROW(名稱_所屬洲別),""),row(24:24))-1,0),"")</f>
        <v>土耳其
Turkey</v>
      </c>
      <c r="G25" s="14" t="str">
        <f t="array" ref="G25">IFERROR(OFFSET('名稱對照'!E$1,SMALL(IF(名稱_所屬洲別="AP",ROW(名稱_所屬洲別),""),row(24:24))-1,0),"")</f>
        <v>東帝汶
East Timor</v>
      </c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6"/>
      <c r="B26" s="14" t="str">
        <f t="array" ref="B26">IFERROR(OFFSET('名稱對照'!E$1,SMALL(IF(名稱_所屬洲別="NA",ROW(名稱_所屬洲別),""),row(25:25))-1,0),"")</f>
        <v/>
      </c>
      <c r="C26" s="14" t="str">
        <f t="array" ref="C26">IFERROR(OFFSET('名稱對照'!E$1,SMALL(IF(名稱_所屬洲別="SA",ROW(名稱_所屬洲別),""),row(25:25))-1,0),"")</f>
        <v>薩爾瓦多
El Salvador</v>
      </c>
      <c r="D26" s="14" t="str">
        <f t="array" ref="D26">IFERROR(OFFSET('名稱對照'!E$1,SMALL(IF(名稱_所屬洲別="AF",ROW(名稱_所屬洲別),""),row(25:25))-1,0),"")</f>
        <v>賴索托
Lesotho</v>
      </c>
      <c r="E26" s="14" t="str">
        <f t="array" ref="E26">IFERROR(OFFSET('名稱對照'!E$1,SMALL(IF(名稱_所屬洲別="EU",ROW(名稱_所屬洲別),""),row(25:25))-1,0),"")</f>
        <v>摩爾多瓦
Moldova</v>
      </c>
      <c r="F26" s="16" t="str">
        <f t="array" ref="F26">IFERROR(OFFSET('名稱對照'!E$1,SMALL(IF(名稱_所屬洲別="WA",ROW(名稱_所屬洲別),""),row(25:25))-1,0),"")</f>
        <v>烏克蘭
Ukraine</v>
      </c>
      <c r="G26" s="14" t="str">
        <f t="array" ref="G26">IFERROR(OFFSET('名稱對照'!E$1,SMALL(IF(名稱_所屬洲別="AP",ROW(名稱_所屬洲別),""),row(25:25))-1,0),"")</f>
        <v>中華民國
Taiwan</v>
      </c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6"/>
      <c r="B27" s="14" t="str">
        <f t="array" ref="B27">IFERROR(OFFSET('名稱對照'!E$1,SMALL(IF(名稱_所屬洲別="NA",ROW(名稱_所屬洲別),""),row(26:26))-1,0),"")</f>
        <v/>
      </c>
      <c r="C27" s="14" t="str">
        <f t="array" ref="C27">IFERROR(OFFSET('名稱對照'!E$1,SMALL(IF(名稱_所屬洲別="SA",ROW(名稱_所屬洲別),""),row(26:26))-1,0),"")</f>
        <v>蘇利南
Suriname</v>
      </c>
      <c r="D27" s="14" t="str">
        <f t="array" ref="D27">IFERROR(OFFSET('名稱對照'!E$1,SMALL(IF(名稱_所屬洲別="AF",ROW(名稱_所屬洲別),""),row(26:26))-1,0),"")</f>
        <v>摩洛哥
Morocco</v>
      </c>
      <c r="E27" s="14" t="str">
        <f t="array" ref="E27">IFERROR(OFFSET('名稱對照'!E$1,SMALL(IF(名稱_所屬洲別="EU",ROW(名稱_所屬洲別),""),row(26:26))-1,0),"")</f>
        <v>馬其頓共和國
Macedonia</v>
      </c>
      <c r="F27" s="16" t="str">
        <f t="array" ref="F27">IFERROR(OFFSET('名稱對照'!E$1,SMALL(IF(名稱_所屬洲別="WA",ROW(名稱_所屬洲別),""),row(26:26))-1,0),"")</f>
        <v>烏茲別克
Uzbekistan</v>
      </c>
      <c r="G27" s="14" t="str">
        <f t="array" ref="G27">IFERROR(OFFSET('名稱對照'!E$1,SMALL(IF(名稱_所屬洲別="AP",ROW(名稱_所屬洲別),""),row(26:26))-1,0),"")</f>
        <v>越南
Vietnam</v>
      </c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6"/>
      <c r="B28" s="14" t="str">
        <f t="array" ref="B28">IFERROR(OFFSET('名稱對照'!E$1,SMALL(IF(名稱_所屬洲別="NA",ROW(名稱_所屬洲別),""),row(27:27))-1,0),"")</f>
        <v/>
      </c>
      <c r="C28" s="14" t="str">
        <f t="array" ref="C28">IFERROR(OFFSET('名稱對照'!E$1,SMALL(IF(名稱_所屬洲別="SA",ROW(名稱_所屬洲別),""),row(27:27))-1,0),"")</f>
        <v>千里達及托巴哥
Trinidad and Tobago</v>
      </c>
      <c r="D28" s="14" t="str">
        <f t="array" ref="D28">IFERROR(OFFSET('名稱對照'!E$1,SMALL(IF(名稱_所屬洲別="AF",ROW(名稱_所屬洲別),""),row(27:27))-1,0),"")</f>
        <v>馬達加斯加
Madagascar</v>
      </c>
      <c r="E28" s="14" t="str">
        <f t="array" ref="E28">IFERROR(OFFSET('名稱對照'!E$1,SMALL(IF(名稱_所屬洲別="EU",ROW(名稱_所屬洲別),""),row(27:27))-1,0),"")</f>
        <v>蒙特內哥羅
Montenegro</v>
      </c>
      <c r="F28" s="16" t="str">
        <f t="array" ref="F28">IFERROR(OFFSET('名稱對照'!E$1,SMALL(IF(名稱_所屬洲別="WA",ROW(名稱_所屬洲別),""),row(27:27))-1,0),"")</f>
        <v>約旦河西岸地區
West Bank</v>
      </c>
      <c r="G28" s="14" t="str">
        <f t="array" ref="G28">IFERROR(OFFSET('名稱對照'!E$1,SMALL(IF(名稱_所屬洲別="AP",ROW(名稱_所屬洲別),""),row(27:27))-1,0),"")</f>
        <v>萬那杜
Vanuatu</v>
      </c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6"/>
      <c r="B29" s="14" t="str">
        <f t="array" ref="B29">IFERROR(OFFSET('名稱對照'!E$1,SMALL(IF(名稱_所屬洲別="NA",ROW(名稱_所屬洲別),""),row(28:28))-1,0),"")</f>
        <v/>
      </c>
      <c r="C29" s="14" t="str">
        <f t="array" ref="C29">IFERROR(OFFSET('名稱對照'!E$1,SMALL(IF(名稱_所屬洲別="SA",ROW(名稱_所屬洲別),""),row(28:28))-1,0),"")</f>
        <v>烏拉圭
Uruguay</v>
      </c>
      <c r="D29" s="14" t="str">
        <f t="array" ref="D29">IFERROR(OFFSET('名稱對照'!E$1,SMALL(IF(名稱_所屬洲別="AF",ROW(名稱_所屬洲別),""),row(28:28))-1,0),"")</f>
        <v>馬利
Mali</v>
      </c>
      <c r="E29" s="14" t="str">
        <f t="array" ref="E29">IFERROR(OFFSET('名稱對照'!E$1,SMALL(IF(名稱_所屬洲別="EU",ROW(名稱_所屬洲別),""),row(28:28))-1,0),"")</f>
        <v>荷蘭
Netherlands</v>
      </c>
      <c r="F29" s="16" t="str">
        <f t="array" ref="F29">IFERROR(OFFSET('名稱對照'!E$1,SMALL(IF(名稱_所屬洲別="WA",ROW(名稱_所屬洲別),""),row(28:28))-1,0),"")</f>
        <v>葉門
Yemen</v>
      </c>
      <c r="G29" s="14" t="str">
        <f t="array" ref="G29">IFERROR(OFFSET('名稱對照'!E$1,SMALL(IF(名稱_所屬洲別="AP",ROW(名稱_所屬洲別),""),row(28:28))-1,0),"")</f>
        <v>新加坡
Republic of Singapore</v>
      </c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6"/>
      <c r="B30" s="14" t="str">
        <f t="array" ref="B30">IFERROR(OFFSET('名稱對照'!E$1,SMALL(IF(名稱_所屬洲別="NA",ROW(名稱_所屬洲別),""),row(29:29))-1,0),"")</f>
        <v/>
      </c>
      <c r="C30" s="14" t="str">
        <f t="array" ref="C30">IFERROR(OFFSET('名稱對照'!E$1,SMALL(IF(名稱_所屬洲別="SA",ROW(名稱_所屬洲別),""),row(29:29))-1,0),"")</f>
        <v>委內瑞拉
Venezuela</v>
      </c>
      <c r="D30" s="14" t="str">
        <f t="array" ref="D30">IFERROR(OFFSET('名稱對照'!E$1,SMALL(IF(名稱_所屬洲別="AF",ROW(名稱_所屬洲別),""),row(29:29))-1,0),"")</f>
        <v>莫三比克
Mozambique</v>
      </c>
      <c r="E30" s="14" t="str">
        <f t="array" ref="E30">IFERROR(OFFSET('名稱對照'!E$1,SMALL(IF(名稱_所屬洲別="EU",ROW(名稱_所屬洲別),""),row(29:29))-1,0),"")</f>
        <v>挪威
Norway</v>
      </c>
      <c r="F30" s="16" t="str">
        <f t="array" ref="F30">IFERROR(OFFSET('名稱對照'!E$1,SMALL(IF(名稱_所屬洲別="WA",ROW(名稱_所屬洲別),""),row(29:29))-1,0),"")</f>
        <v/>
      </c>
      <c r="G30" s="14" t="str">
        <f t="array" ref="G30">IFERROR(OFFSET('名稱對照'!E$1,SMALL(IF(名稱_所屬洲別="AP",ROW(名稱_所屬洲別),""),row(29:29))-1,0),"")</f>
        <v>香港
Hong Kong</v>
      </c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6"/>
      <c r="B31" s="14" t="str">
        <f t="array" ref="B31">IFERROR(OFFSET('名稱對照'!E$1,SMALL(IF(名稱_所屬洲別="NA",ROW(名稱_所屬洲別),""),row(30:30))-1,0),"")</f>
        <v/>
      </c>
      <c r="C31" s="14" t="str">
        <f t="array" ref="C31">IFERROR(OFFSET('名稱對照'!E$1,SMALL(IF(名稱_所屬洲別="SA",ROW(名稱_所屬洲別),""),row(30:30))-1,0),"")</f>
        <v/>
      </c>
      <c r="D31" s="14" t="str">
        <f t="array" ref="D31">IFERROR(OFFSET('名稱對照'!E$1,SMALL(IF(名稱_所屬洲別="AF",ROW(名稱_所屬洲別),""),row(30:30))-1,0),"")</f>
        <v>茅利塔尼亞
Mauritania</v>
      </c>
      <c r="E31" s="14" t="str">
        <f t="array" ref="E31">IFERROR(OFFSET('名稱對照'!E$1,SMALL(IF(名稱_所屬洲別="EU",ROW(名稱_所屬洲別),""),row(30:30))-1,0),"")</f>
        <v>波蘭
Poland</v>
      </c>
      <c r="F31" s="16" t="str">
        <f t="array" ref="F31">IFERROR(OFFSET('名稱對照'!E$1,SMALL(IF(名稱_所屬洲別="WA",ROW(名稱_所屬洲別),""),row(30:30))-1,0),"")</f>
        <v/>
      </c>
      <c r="G31" s="14" t="str">
        <f t="array" ref="G31">IFERROR(OFFSET('名稱對照'!E$1,SMALL(IF(名稱_所屬洲別="AP",ROW(名稱_所屬洲別),""),row(30:30))-1,0),"")</f>
        <v>澳門
Machu</v>
      </c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6"/>
      <c r="B32" s="14" t="str">
        <f t="array" ref="B32">IFERROR(OFFSET('名稱對照'!E$1,SMALL(IF(名稱_所屬洲別="NA",ROW(名稱_所屬洲別),""),row(31:31))-1,0),"")</f>
        <v/>
      </c>
      <c r="C32" s="14" t="str">
        <f t="array" ref="C32">IFERROR(OFFSET('名稱對照'!E$1,SMALL(IF(名稱_所屬洲別="SA",ROW(名稱_所屬洲別),""),row(31:31))-1,0),"")</f>
        <v/>
      </c>
      <c r="D32" s="14" t="str">
        <f t="array" ref="D32">IFERROR(OFFSET('名稱對照'!E$1,SMALL(IF(名稱_所屬洲別="AF",ROW(名稱_所屬洲別),""),row(31:31))-1,0),"")</f>
        <v>馬拉威
Malawi</v>
      </c>
      <c r="E32" s="14" t="str">
        <f t="array" ref="E32">IFERROR(OFFSET('名稱對照'!E$1,SMALL(IF(名稱_所屬洲別="EU",ROW(名稱_所屬洲別),""),row(31:31))-1,0),"")</f>
        <v>葡萄牙
Portugal</v>
      </c>
      <c r="F32" s="16" t="str">
        <f t="array" ref="F32">IFERROR(OFFSET('名稱對照'!E$1,SMALL(IF(名稱_所屬洲別="WA",ROW(名稱_所屬洲別),""),row(31:31))-1,0),"")</f>
        <v/>
      </c>
      <c r="G32" s="14" t="str">
        <f t="array" ref="G32">IFERROR(OFFSET('名稱對照'!E$1,SMALL(IF(名稱_所屬洲別="AP",ROW(名稱_所屬洲別),""),row(31:31))-1,0),"")</f>
        <v>玻里尼西亞 (大溪地)
Polynesia (Tahitia)</v>
      </c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6"/>
      <c r="B33" s="14" t="str">
        <f t="array" ref="B33">IFERROR(OFFSET('名稱對照'!E$1,SMALL(IF(名稱_所屬洲別="NA",ROW(名稱_所屬洲別),""),row(32:32))-1,0),"")</f>
        <v/>
      </c>
      <c r="C33" s="14" t="str">
        <f t="array" ref="C33">IFERROR(OFFSET('名稱對照'!E$1,SMALL(IF(名稱_所屬洲別="SA",ROW(名稱_所屬洲別),""),row(32:32))-1,0),"")</f>
        <v/>
      </c>
      <c r="D33" s="14" t="str">
        <f t="array" ref="D33">IFERROR(OFFSET('名稱對照'!E$1,SMALL(IF(名稱_所屬洲別="AF",ROW(名稱_所屬洲別),""),row(32:32))-1,0),"")</f>
        <v>納米比亞
Namibia</v>
      </c>
      <c r="E33" s="14" t="str">
        <f t="array" ref="E33">IFERROR(OFFSET('名稱對照'!E$1,SMALL(IF(名稱_所屬洲別="EU",ROW(名稱_所屬洲別),""),row(32:32))-1,0),"")</f>
        <v>羅馬尼亞
Romania</v>
      </c>
      <c r="F33" s="16" t="str">
        <f t="array" ref="F33">IFERROR(OFFSET('名稱對照'!E$1,SMALL(IF(名稱_所屬洲別="WA",ROW(名稱_所屬洲別),""),row(32:32))-1,0),"")</f>
        <v/>
      </c>
      <c r="G33" s="14" t="str">
        <f t="array" ref="G33">IFERROR(OFFSET('名稱對照'!E$1,SMALL(IF(名稱_所屬洲別="AP",ROW(名稱_所屬洲別),""),row(32:32))-1,0),"")</f>
        <v/>
      </c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6"/>
      <c r="B34" s="14" t="str">
        <f t="array" ref="B34">IFERROR(OFFSET('名稱對照'!E$1,SMALL(IF(名稱_所屬洲別="NA",ROW(名稱_所屬洲別),""),row(33:33))-1,0),"")</f>
        <v/>
      </c>
      <c r="C34" s="14" t="str">
        <f t="array" ref="C34">IFERROR(OFFSET('名稱對照'!E$1,SMALL(IF(名稱_所屬洲別="SA",ROW(名稱_所屬洲別),""),row(33:33))-1,0),"")</f>
        <v/>
      </c>
      <c r="D34" s="14" t="str">
        <f t="array" ref="D34">IFERROR(OFFSET('名稱對照'!E$1,SMALL(IF(名稱_所屬洲別="AF",ROW(名稱_所屬洲別),""),row(33:33))-1,0),"")</f>
        <v>尼日
Niger</v>
      </c>
      <c r="E34" s="14" t="str">
        <f t="array" ref="E34">IFERROR(OFFSET('名稱對照'!E$1,SMALL(IF(名稱_所屬洲別="EU",ROW(名稱_所屬洲別),""),row(33:33))-1,0),"")</f>
        <v>塞爾維亞
Republic of Serbia</v>
      </c>
      <c r="F34" s="16" t="str">
        <f t="array" ref="F34">IFERROR(OFFSET('名稱對照'!E$1,SMALL(IF(名稱_所屬洲別="WA",ROW(名稱_所屬洲別),""),row(33:33))-1,0),"")</f>
        <v/>
      </c>
      <c r="G34" s="14" t="str">
        <f t="array" ref="G34">IFERROR(OFFSET('名稱對照'!E$1,SMALL(IF(名稱_所屬洲別="AP",ROW(名稱_所屬洲別),""),row(33:33))-1,0),"")</f>
        <v/>
      </c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6"/>
      <c r="B35" s="14" t="str">
        <f t="array" ref="B35">IFERROR(OFFSET('名稱對照'!E$1,SMALL(IF(名稱_所屬洲別="NA",ROW(名稱_所屬洲別),""),row(34:34))-1,0),"")</f>
        <v/>
      </c>
      <c r="C35" s="14" t="str">
        <f t="array" ref="C35">IFERROR(OFFSET('名稱對照'!E$1,SMALL(IF(名稱_所屬洲別="SA",ROW(名稱_所屬洲別),""),row(34:34))-1,0),"")</f>
        <v/>
      </c>
      <c r="D35" s="14" t="str">
        <f t="array" ref="D35">IFERROR(OFFSET('名稱對照'!E$1,SMALL(IF(名稱_所屬洲別="AF",ROW(名稱_所屬洲別),""),row(34:34))-1,0),"")</f>
        <v>奈及利亞
Nigeria</v>
      </c>
      <c r="E35" s="14" t="str">
        <f t="array" ref="E35">IFERROR(OFFSET('名稱對照'!E$1,SMALL(IF(名稱_所屬洲別="EU",ROW(名稱_所屬洲別),""),row(34:34))-1,0),"")</f>
        <v>斯洛伐克
Slovakia</v>
      </c>
      <c r="F35" s="16" t="str">
        <f t="array" ref="F35">IFERROR(OFFSET('名稱對照'!E$1,SMALL(IF(名稱_所屬洲別="WA",ROW(名稱_所屬洲別),""),row(34:34))-1,0),"")</f>
        <v/>
      </c>
      <c r="G35" s="14" t="str">
        <f t="array" ref="G35">IFERROR(OFFSET('名稱對照'!E$1,SMALL(IF(名稱_所屬洲別="AP",ROW(名稱_所屬洲別),""),row(34:34))-1,0),"")</f>
        <v/>
      </c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6"/>
      <c r="B36" s="14" t="str">
        <f t="array" ref="B36">IFERROR(OFFSET('名稱對照'!E$1,SMALL(IF(名稱_所屬洲別="NA",ROW(名稱_所屬洲別),""),row(35:35))-1,0),"")</f>
        <v/>
      </c>
      <c r="C36" s="14" t="str">
        <f t="array" ref="C36">IFERROR(OFFSET('名稱對照'!E$1,SMALL(IF(名稱_所屬洲別="SA",ROW(名稱_所屬洲別),""),row(35:35))-1,0),"")</f>
        <v/>
      </c>
      <c r="D36" s="14" t="str">
        <f t="array" ref="D36">IFERROR(OFFSET('名稱對照'!E$1,SMALL(IF(名稱_所屬洲別="AF",ROW(名稱_所屬洲別),""),row(35:35))-1,0),"")</f>
        <v>盧安達
Rwanda</v>
      </c>
      <c r="E36" s="14" t="str">
        <f t="array" ref="E36">IFERROR(OFFSET('名稱對照'!E$1,SMALL(IF(名稱_所屬洲別="EU",ROW(名稱_所屬洲別),""),row(35:35))-1,0),"")</f>
        <v>斯洛維尼亞
Slovenia</v>
      </c>
      <c r="F36" s="16" t="str">
        <f t="array" ref="F36">IFERROR(OFFSET('名稱對照'!E$1,SMALL(IF(名稱_所屬洲別="WA",ROW(名稱_所屬洲別),""),row(35:35))-1,0),"")</f>
        <v/>
      </c>
      <c r="G36" s="14" t="str">
        <f t="array" ref="G36">IFERROR(OFFSET('名稱對照'!E$1,SMALL(IF(名稱_所屬洲別="AP",ROW(名稱_所屬洲別),""),row(35:35))-1,0),"")</f>
        <v/>
      </c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6"/>
      <c r="B37" s="14" t="str">
        <f t="array" ref="B37">IFERROR(OFFSET('名稱對照'!E$1,SMALL(IF(名稱_所屬洲別="NA",ROW(名稱_所屬洲別),""),row(36:36))-1,0),"")</f>
        <v/>
      </c>
      <c r="C37" s="14" t="str">
        <f t="array" ref="C37">IFERROR(OFFSET('名稱對照'!E$1,SMALL(IF(名稱_所屬洲別="SA",ROW(名稱_所屬洲別),""),row(36:36))-1,0),"")</f>
        <v/>
      </c>
      <c r="D37" s="14" t="str">
        <f t="array" ref="D37">IFERROR(OFFSET('名稱對照'!E$1,SMALL(IF(名稱_所屬洲別="AF",ROW(名稱_所屬洲別),""),row(36:36))-1,0),"")</f>
        <v>西撒哈拉
Western Sahara</v>
      </c>
      <c r="E37" s="14" t="str">
        <f t="array" ref="E37">IFERROR(OFFSET('名稱對照'!E$1,SMALL(IF(名稱_所屬洲別="EU",ROW(名稱_所屬洲別),""),row(36:36))-1,0),"")</f>
        <v>瑞典
Sweden</v>
      </c>
      <c r="F37" s="16" t="str">
        <f t="array" ref="F37">IFERROR(OFFSET('名稱對照'!E$1,SMALL(IF(名稱_所屬洲別="WA",ROW(名稱_所屬洲別),""),row(36:36))-1,0),"")</f>
        <v/>
      </c>
      <c r="G37" s="14" t="str">
        <f t="array" ref="G37">IFERROR(OFFSET('名稱對照'!E$1,SMALL(IF(名稱_所屬洲別="AP",ROW(名稱_所屬洲別),""),row(36:36))-1,0),"")</f>
        <v/>
      </c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/>
      <c r="B38" s="14" t="str">
        <f t="array" ref="B38">IFERROR(OFFSET('名稱對照'!E$1,SMALL(IF(名稱_所屬洲別="NA",ROW(名稱_所屬洲別),""),row(37:37))-1,0),"")</f>
        <v/>
      </c>
      <c r="C38" s="14" t="str">
        <f t="array" ref="C38">IFERROR(OFFSET('名稱對照'!E$1,SMALL(IF(名稱_所屬洲別="SA",ROW(名稱_所屬洲別),""),row(37:37))-1,0),"")</f>
        <v/>
      </c>
      <c r="D38" s="14" t="str">
        <f t="array" ref="D38">IFERROR(OFFSET('名稱對照'!E$1,SMALL(IF(名稱_所屬洲別="AF",ROW(名稱_所屬洲別),""),row(37:37))-1,0),"")</f>
        <v>蘇丹共和國
Sudan</v>
      </c>
      <c r="E38" s="14" t="str">
        <f t="array" ref="E38">IFERROR(OFFSET('名稱對照'!E$1,SMALL(IF(名稱_所屬洲別="EU",ROW(名稱_所屬洲別),""),row(37:37))-1,0),"")</f>
        <v/>
      </c>
      <c r="F38" s="16" t="str">
        <f t="array" ref="F38">IFERROR(OFFSET('名稱對照'!E$1,SMALL(IF(名稱_所屬洲別="WA",ROW(名稱_所屬洲別),""),row(37:37))-1,0),"")</f>
        <v/>
      </c>
      <c r="G38" s="14" t="str">
        <f t="array" ref="G38">IFERROR(OFFSET('名稱對照'!E$1,SMALL(IF(名稱_所屬洲別="AP",ROW(名稱_所屬洲別),""),row(37:37))-1,0),"")</f>
        <v/>
      </c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/>
      <c r="B39" s="14" t="str">
        <f t="array" ref="B39">IFERROR(OFFSET('名稱對照'!E$1,SMALL(IF(名稱_所屬洲別="NA",ROW(名稱_所屬洲別),""),row(38:38))-1,0),"")</f>
        <v/>
      </c>
      <c r="C39" s="14" t="str">
        <f t="array" ref="C39">IFERROR(OFFSET('名稱對照'!E$1,SMALL(IF(名稱_所屬洲別="SA",ROW(名稱_所屬洲別),""),row(38:38))-1,0),"")</f>
        <v/>
      </c>
      <c r="D39" s="14" t="str">
        <f t="array" ref="D39">IFERROR(OFFSET('名稱對照'!E$1,SMALL(IF(名稱_所屬洲別="AF",ROW(名稱_所屬洲別),""),row(38:38))-1,0),"")</f>
        <v>南蘇丹
South Sudan</v>
      </c>
      <c r="E39" s="14" t="str">
        <f t="array" ref="E39">IFERROR(OFFSET('名稱對照'!E$1,SMALL(IF(名稱_所屬洲別="EU",ROW(名稱_所屬洲別),""),row(38:38))-1,0),"")</f>
        <v/>
      </c>
      <c r="F39" s="16" t="str">
        <f t="array" ref="F39">IFERROR(OFFSET('名稱對照'!E$1,SMALL(IF(名稱_所屬洲別="WA",ROW(名稱_所屬洲別),""),row(38:38))-1,0),"")</f>
        <v/>
      </c>
      <c r="G39" s="14" t="str">
        <f t="array" ref="G39">IFERROR(OFFSET('名稱對照'!E$1,SMALL(IF(名稱_所屬洲別="AP",ROW(名稱_所屬洲別),""),row(38:38))-1,0),"")</f>
        <v/>
      </c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/>
      <c r="B40" s="14" t="str">
        <f t="array" ref="B40">IFERROR(OFFSET('名稱對照'!E$1,SMALL(IF(名稱_所屬洲別="NA",ROW(名稱_所屬洲別),""),row(39:39))-1,0),"")</f>
        <v/>
      </c>
      <c r="C40" s="14" t="str">
        <f t="array" ref="C40">IFERROR(OFFSET('名稱對照'!E$1,SMALL(IF(名稱_所屬洲別="SA",ROW(名稱_所屬洲別),""),row(39:39))-1,0),"")</f>
        <v/>
      </c>
      <c r="D40" s="14" t="str">
        <f t="array" ref="D40">IFERROR(OFFSET('名稱對照'!E$1,SMALL(IF(名稱_所屬洲別="AF",ROW(名稱_所屬洲別),""),row(39:39))-1,0),"")</f>
        <v>塞內加爾
Senegal</v>
      </c>
      <c r="E40" s="14" t="str">
        <f t="array" ref="E40">IFERROR(OFFSET('名稱對照'!E$1,SMALL(IF(名稱_所屬洲別="EU",ROW(名稱_所屬洲別),""),row(39:39))-1,0),"")</f>
        <v/>
      </c>
      <c r="F40" s="16" t="str">
        <f t="array" ref="F40">IFERROR(OFFSET('名稱對照'!E$1,SMALL(IF(名稱_所屬洲別="WA",ROW(名稱_所屬洲別),""),row(39:39))-1,0),"")</f>
        <v/>
      </c>
      <c r="G40" s="14" t="str">
        <f t="array" ref="G40">IFERROR(OFFSET('名稱對照'!E$1,SMALL(IF(名稱_所屬洲別="AP",ROW(名稱_所屬洲別),""),row(39:39))-1,0),"")</f>
        <v/>
      </c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/>
      <c r="B41" s="14" t="str">
        <f t="array" ref="B41">IFERROR(OFFSET('名稱對照'!E$1,SMALL(IF(名稱_所屬洲別="NA",ROW(名稱_所屬洲別),""),row(40:40))-1,0),"")</f>
        <v/>
      </c>
      <c r="C41" s="14" t="str">
        <f t="array" ref="C41">IFERROR(OFFSET('名稱對照'!E$1,SMALL(IF(名稱_所屬洲別="SA",ROW(名稱_所屬洲別),""),row(40:40))-1,0),"")</f>
        <v/>
      </c>
      <c r="D41" s="14" t="str">
        <f t="array" ref="D41">IFERROR(OFFSET('名稱對照'!E$1,SMALL(IF(名稱_所屬洲別="AF",ROW(名稱_所屬洲別),""),row(40:40))-1,0),"")</f>
        <v>獅子山共和國
Sierra Leone</v>
      </c>
      <c r="E41" s="14" t="str">
        <f t="array" ref="E41">IFERROR(OFFSET('名稱對照'!E$1,SMALL(IF(名稱_所屬洲別="EU",ROW(名稱_所屬洲別),""),row(40:40))-1,0),"")</f>
        <v/>
      </c>
      <c r="F41" s="16" t="str">
        <f t="array" ref="F41">IFERROR(OFFSET('名稱對照'!E$1,SMALL(IF(名稱_所屬洲別="WA",ROW(名稱_所屬洲別),""),row(40:40))-1,0),"")</f>
        <v/>
      </c>
      <c r="G41" s="14" t="str">
        <f t="array" ref="G41">IFERROR(OFFSET('名稱對照'!E$1,SMALL(IF(名稱_所屬洲別="AP",ROW(名稱_所屬洲別),""),row(40:40))-1,0),"")</f>
        <v/>
      </c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/>
      <c r="B42" s="14" t="str">
        <f t="array" ref="B42">IFERROR(OFFSET('名稱對照'!E$1,SMALL(IF(名稱_所屬洲別="NA",ROW(名稱_所屬洲別),""),row(41:41))-1,0),"")</f>
        <v/>
      </c>
      <c r="C42" s="14" t="str">
        <f t="array" ref="C42">IFERROR(OFFSET('名稱對照'!E$1,SMALL(IF(名稱_所屬洲別="SA",ROW(名稱_所屬洲別),""),row(41:41))-1,0),"")</f>
        <v/>
      </c>
      <c r="D42" s="14" t="str">
        <f t="array" ref="D42">IFERROR(OFFSET('名稱對照'!E$1,SMALL(IF(名稱_所屬洲別="AF",ROW(名稱_所屬洲別),""),row(41:41))-1,0),"")</f>
        <v>索馬利亞
Somalia</v>
      </c>
      <c r="E42" s="14" t="str">
        <f t="array" ref="E42">IFERROR(OFFSET('名稱對照'!E$1,SMALL(IF(名稱_所屬洲別="EU",ROW(名稱_所屬洲別),""),row(41:41))-1,0),"")</f>
        <v/>
      </c>
      <c r="F42" s="16" t="str">
        <f t="array" ref="F42">IFERROR(OFFSET('名稱對照'!E$1,SMALL(IF(名稱_所屬洲別="WA",ROW(名稱_所屬洲別),""),row(41:41))-1,0),"")</f>
        <v/>
      </c>
      <c r="G42" s="14" t="str">
        <f t="array" ref="G42">IFERROR(OFFSET('名稱對照'!E$1,SMALL(IF(名稱_所屬洲別="AP",ROW(名稱_所屬洲別),""),row(41:41))-1,0),"")</f>
        <v/>
      </c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/>
      <c r="B43" s="14" t="str">
        <f t="array" ref="B43">IFERROR(OFFSET('名稱對照'!E$1,SMALL(IF(名稱_所屬洲別="NA",ROW(名稱_所屬洲別),""),row(42:42))-1,0),"")</f>
        <v/>
      </c>
      <c r="C43" s="14" t="str">
        <f t="array" ref="C43">IFERROR(OFFSET('名稱對照'!E$1,SMALL(IF(名稱_所屬洲別="SA",ROW(名稱_所屬洲別),""),row(42:42))-1,0),"")</f>
        <v/>
      </c>
      <c r="D43" s="14" t="str">
        <f t="array" ref="D43">IFERROR(OFFSET('名稱對照'!E$1,SMALL(IF(名稱_所屬洲別="AF",ROW(名稱_所屬洲別),""),row(42:42))-1,0),"")</f>
        <v>史瓦濟蘭
Swaziland</v>
      </c>
      <c r="E43" s="14" t="str">
        <f t="array" ref="E43">IFERROR(OFFSET('名稱對照'!E$1,SMALL(IF(名稱_所屬洲別="EU",ROW(名稱_所屬洲別),""),row(42:42))-1,0),"")</f>
        <v/>
      </c>
      <c r="F43" s="16" t="str">
        <f t="array" ref="F43">IFERROR(OFFSET('名稱對照'!E$1,SMALL(IF(名稱_所屬洲別="WA",ROW(名稱_所屬洲別),""),row(42:42))-1,0),"")</f>
        <v/>
      </c>
      <c r="G43" s="14" t="str">
        <f t="array" ref="G43">IFERROR(OFFSET('名稱對照'!E$1,SMALL(IF(名稱_所屬洲別="AP",ROW(名稱_所屬洲別),""),row(42:42))-1,0),"")</f>
        <v/>
      </c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/>
      <c r="B44" s="14" t="str">
        <f t="array" ref="B44">IFERROR(OFFSET('名稱對照'!E$1,SMALL(IF(名稱_所屬洲別="NA",ROW(名稱_所屬洲別),""),row(43:43))-1,0),"")</f>
        <v/>
      </c>
      <c r="C44" s="14" t="str">
        <f t="array" ref="C44">IFERROR(OFFSET('名稱對照'!E$1,SMALL(IF(名稱_所屬洲別="SA",ROW(名稱_所屬洲別),""),row(43:43))-1,0),"")</f>
        <v/>
      </c>
      <c r="D44" s="14" t="str">
        <f t="array" ref="D44">IFERROR(OFFSET('名稱對照'!E$1,SMALL(IF(名稱_所屬洲別="AF",ROW(名稱_所屬洲別),""),row(43:43))-1,0),"")</f>
        <v>查德
Chad</v>
      </c>
      <c r="E44" s="14" t="str">
        <f t="array" ref="E44">IFERROR(OFFSET('名稱對照'!E$1,SMALL(IF(名稱_所屬洲別="EU",ROW(名稱_所屬洲別),""),row(43:43))-1,0),"")</f>
        <v/>
      </c>
      <c r="F44" s="16" t="str">
        <f t="array" ref="F44">IFERROR(OFFSET('名稱對照'!E$1,SMALL(IF(名稱_所屬洲別="WA",ROW(名稱_所屬洲別),""),row(43:43))-1,0),"")</f>
        <v/>
      </c>
      <c r="G44" s="14" t="str">
        <f t="array" ref="G44">IFERROR(OFFSET('名稱對照'!E$1,SMALL(IF(名稱_所屬洲別="AP",ROW(名稱_所屬洲別),""),row(43:43))-1,0),"")</f>
        <v/>
      </c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14" t="str">
        <f t="array" ref="B45">IFERROR(OFFSET('名稱對照'!E$1,SMALL(IF(名稱_所屬洲別="NA",ROW(名稱_所屬洲別),""),row(44:44))-1,0),"")</f>
        <v/>
      </c>
      <c r="C45" s="14" t="str">
        <f t="array" ref="C45">IFERROR(OFFSET('名稱對照'!E$1,SMALL(IF(名稱_所屬洲別="SA",ROW(名稱_所屬洲別),""),row(44:44))-1,0),"")</f>
        <v/>
      </c>
      <c r="D45" s="14" t="str">
        <f t="array" ref="D45">IFERROR(OFFSET('名稱對照'!E$1,SMALL(IF(名稱_所屬洲別="AF",ROW(名稱_所屬洲別),""),row(44:44))-1,0),"")</f>
        <v>多哥
Togo</v>
      </c>
      <c r="E45" s="14" t="str">
        <f t="array" ref="E45">IFERROR(OFFSET('名稱對照'!E$1,SMALL(IF(名稱_所屬洲別="EU",ROW(名稱_所屬洲別),""),row(44:44))-1,0),"")</f>
        <v/>
      </c>
      <c r="F45" s="16" t="str">
        <f t="array" ref="F45">IFERROR(OFFSET('名稱對照'!E$1,SMALL(IF(名稱_所屬洲別="WA",ROW(名稱_所屬洲別),""),row(44:44))-1,0),"")</f>
        <v/>
      </c>
      <c r="G45" s="14" t="str">
        <f t="array" ref="G45">IFERROR(OFFSET('名稱對照'!E$1,SMALL(IF(名稱_所屬洲別="AP",ROW(名稱_所屬洲別),""),row(44:44))-1,0),"")</f>
        <v/>
      </c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14" t="str">
        <f t="array" ref="B46">IFERROR(OFFSET('名稱對照'!E$1,SMALL(IF(名稱_所屬洲別="NA",ROW(名稱_所屬洲別),""),row(45:45))-1,0),"")</f>
        <v/>
      </c>
      <c r="C46" s="14" t="str">
        <f t="array" ref="C46">IFERROR(OFFSET('名稱對照'!E$1,SMALL(IF(名稱_所屬洲別="SA",ROW(名稱_所屬洲別),""),row(45:45))-1,0),"")</f>
        <v/>
      </c>
      <c r="D46" s="14" t="str">
        <f t="array" ref="D46">IFERROR(OFFSET('名稱對照'!E$1,SMALL(IF(名稱_所屬洲別="AF",ROW(名稱_所屬洲別),""),row(45:45))-1,0),"")</f>
        <v>突尼西亞
Tunisia</v>
      </c>
      <c r="E46" s="14" t="str">
        <f t="array" ref="E46">IFERROR(OFFSET('名稱對照'!E$1,SMALL(IF(名稱_所屬洲別="EU",ROW(名稱_所屬洲別),""),row(45:45))-1,0),"")</f>
        <v/>
      </c>
      <c r="F46" s="16" t="str">
        <f t="array" ref="F46">IFERROR(OFFSET('名稱對照'!E$1,SMALL(IF(名稱_所屬洲別="WA",ROW(名稱_所屬洲別),""),row(45:45))-1,0),"")</f>
        <v/>
      </c>
      <c r="G46" s="14" t="str">
        <f t="array" ref="G46">IFERROR(OFFSET('名稱對照'!E$1,SMALL(IF(名稱_所屬洲別="AP",ROW(名稱_所屬洲別),""),row(45:45))-1,0),"")</f>
        <v/>
      </c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/>
      <c r="B47" s="14" t="str">
        <f t="array" ref="B47">IFERROR(OFFSET('名稱對照'!E$1,SMALL(IF(名稱_所屬洲別="NA",ROW(名稱_所屬洲別),""),row(46:46))-1,0),"")</f>
        <v/>
      </c>
      <c r="C47" s="14" t="str">
        <f t="array" ref="C47">IFERROR(OFFSET('名稱對照'!E$1,SMALL(IF(名稱_所屬洲別="SA",ROW(名稱_所屬洲別),""),row(46:46))-1,0),"")</f>
        <v/>
      </c>
      <c r="D47" s="14" t="str">
        <f t="array" ref="D47">IFERROR(OFFSET('名稱對照'!E$1,SMALL(IF(名稱_所屬洲別="AF",ROW(名稱_所屬洲別),""),row(46:46))-1,0),"")</f>
        <v>坦尚尼亞
United Republic of Tanzania</v>
      </c>
      <c r="E47" s="14" t="str">
        <f t="array" ref="E47">IFERROR(OFFSET('名稱對照'!E$1,SMALL(IF(名稱_所屬洲別="EU",ROW(名稱_所屬洲別),""),row(46:46))-1,0),"")</f>
        <v/>
      </c>
      <c r="F47" s="16" t="str">
        <f t="array" ref="F47">IFERROR(OFFSET('名稱對照'!E$1,SMALL(IF(名稱_所屬洲別="WA",ROW(名稱_所屬洲別),""),row(46:46))-1,0),"")</f>
        <v/>
      </c>
      <c r="G47" s="14" t="str">
        <f t="array" ref="G47">IFERROR(OFFSET('名稱對照'!E$1,SMALL(IF(名稱_所屬洲別="AP",ROW(名稱_所屬洲別),""),row(46:46))-1,0),"")</f>
        <v/>
      </c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/>
      <c r="B48" s="14" t="str">
        <f t="array" ref="B48">IFERROR(OFFSET('名稱對照'!E$1,SMALL(IF(名稱_所屬洲別="NA",ROW(名稱_所屬洲別),""),row(47:47))-1,0),"")</f>
        <v/>
      </c>
      <c r="C48" s="14" t="str">
        <f t="array" ref="C48">IFERROR(OFFSET('名稱對照'!E$1,SMALL(IF(名稱_所屬洲別="SA",ROW(名稱_所屬洲別),""),row(47:47))-1,0),"")</f>
        <v/>
      </c>
      <c r="D48" s="14" t="str">
        <f t="array" ref="D48">IFERROR(OFFSET('名稱對照'!E$1,SMALL(IF(名稱_所屬洲別="AF",ROW(名稱_所屬洲別),""),row(47:47))-1,0),"")</f>
        <v>烏干達
Uganda</v>
      </c>
      <c r="E48" s="14" t="str">
        <f t="array" ref="E48">IFERROR(OFFSET('名稱對照'!E$1,SMALL(IF(名稱_所屬洲別="EU",ROW(名稱_所屬洲別),""),row(47:47))-1,0),"")</f>
        <v/>
      </c>
      <c r="F48" s="16" t="str">
        <f t="array" ref="F48">IFERROR(OFFSET('名稱對照'!E$1,SMALL(IF(名稱_所屬洲別="WA",ROW(名稱_所屬洲別),""),row(47:47))-1,0),"")</f>
        <v/>
      </c>
      <c r="G48" s="14" t="str">
        <f t="array" ref="G48">IFERROR(OFFSET('名稱對照'!E$1,SMALL(IF(名稱_所屬洲別="AP",ROW(名稱_所屬洲別),""),row(47:47))-1,0),"")</f>
        <v/>
      </c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14" t="str">
        <f t="array" ref="B49">IFERROR(OFFSET('名稱對照'!E$1,SMALL(IF(名稱_所屬洲別="NA",ROW(名稱_所屬洲別),""),row(48:48))-1,0),"")</f>
        <v/>
      </c>
      <c r="C49" s="14" t="str">
        <f t="array" ref="C49">IFERROR(OFFSET('名稱對照'!E$1,SMALL(IF(名稱_所屬洲別="SA",ROW(名稱_所屬洲別),""),row(48:48))-1,0),"")</f>
        <v/>
      </c>
      <c r="D49" s="14" t="str">
        <f t="array" ref="D49">IFERROR(OFFSET('名稱對照'!E$1,SMALL(IF(名稱_所屬洲別="AF",ROW(名稱_所屬洲別),""),row(48:48))-1,0),"")</f>
        <v>南非
South Africa</v>
      </c>
      <c r="E49" s="14" t="str">
        <f t="array" ref="E49">IFERROR(OFFSET('名稱對照'!E$1,SMALL(IF(名稱_所屬洲別="EU",ROW(名稱_所屬洲別),""),row(48:48))-1,0),"")</f>
        <v/>
      </c>
      <c r="F49" s="16" t="str">
        <f t="array" ref="F49">IFERROR(OFFSET('名稱對照'!E$1,SMALL(IF(名稱_所屬洲別="WA",ROW(名稱_所屬洲別),""),row(48:48))-1,0),"")</f>
        <v/>
      </c>
      <c r="G49" s="14" t="str">
        <f t="array" ref="G49">IFERROR(OFFSET('名稱對照'!E$1,SMALL(IF(名稱_所屬洲別="AP",ROW(名稱_所屬洲別),""),row(48:48))-1,0),"")</f>
        <v/>
      </c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14" t="str">
        <f t="array" ref="B50">IFERROR(OFFSET('名稱對照'!E$1,SMALL(IF(名稱_所屬洲別="NA",ROW(名稱_所屬洲別),""),row(49:49))-1,0),"")</f>
        <v/>
      </c>
      <c r="C50" s="14" t="str">
        <f t="array" ref="C50">IFERROR(OFFSET('名稱對照'!E$1,SMALL(IF(名稱_所屬洲別="SA",ROW(名稱_所屬洲別),""),row(49:49))-1,0),"")</f>
        <v/>
      </c>
      <c r="D50" s="14" t="str">
        <f t="array" ref="D50">IFERROR(OFFSET('名稱對照'!E$1,SMALL(IF(名稱_所屬洲別="AF",ROW(名稱_所屬洲別),""),row(49:49))-1,0),"")</f>
        <v>尚比亞
Zambia</v>
      </c>
      <c r="E50" s="14" t="str">
        <f t="array" ref="E50">IFERROR(OFFSET('名稱對照'!E$1,SMALL(IF(名稱_所屬洲別="EU",ROW(名稱_所屬洲別),""),row(49:49))-1,0),"")</f>
        <v/>
      </c>
      <c r="F50" s="16" t="str">
        <f t="array" ref="F50">IFERROR(OFFSET('名稱對照'!E$1,SMALL(IF(名稱_所屬洲別="WA",ROW(名稱_所屬洲別),""),row(49:49))-1,0),"")</f>
        <v/>
      </c>
      <c r="G50" s="14" t="str">
        <f t="array" ref="G50">IFERROR(OFFSET('名稱對照'!E$1,SMALL(IF(名稱_所屬洲別="AP",ROW(名稱_所屬洲別),""),row(49:49))-1,0),"")</f>
        <v/>
      </c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14" t="str">
        <f t="array" ref="B51">IFERROR(OFFSET('名稱對照'!E$1,SMALL(IF(名稱_所屬洲別="NA",ROW(名稱_所屬洲別),""),row(50:50))-1,0),"")</f>
        <v/>
      </c>
      <c r="C51" s="14" t="str">
        <f t="array" ref="C51">IFERROR(OFFSET('名稱對照'!E$1,SMALL(IF(名稱_所屬洲別="SA",ROW(名稱_所屬洲別),""),row(50:50))-1,0),"")</f>
        <v/>
      </c>
      <c r="D51" s="14" t="str">
        <f t="array" ref="D51">IFERROR(OFFSET('名稱對照'!E$1,SMALL(IF(名稱_所屬洲別="AF",ROW(名稱_所屬洲別),""),row(50:50))-1,0),"")</f>
        <v>辛巴威
Zimbabwe</v>
      </c>
      <c r="E51" s="14" t="str">
        <f t="array" ref="E51">IFERROR(OFFSET('名稱對照'!E$1,SMALL(IF(名稱_所屬洲別="EU",ROW(名稱_所屬洲別),""),row(50:50))-1,0),"")</f>
        <v/>
      </c>
      <c r="F51" s="16" t="str">
        <f t="array" ref="F51">IFERROR(OFFSET('名稱對照'!E$1,SMALL(IF(名稱_所屬洲別="WA",ROW(名稱_所屬洲別),""),row(50:50))-1,0),"")</f>
        <v/>
      </c>
      <c r="G51" s="14" t="str">
        <f t="array" ref="G51">IFERROR(OFFSET('名稱對照'!E$1,SMALL(IF(名稱_所屬洲別="AP",ROW(名稱_所屬洲別),""),row(50:50))-1,0),"")</f>
        <v/>
      </c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14" t="str">
        <f t="array" ref="B52">IFERROR(OFFSET('名稱對照'!E$1,SMALL(IF(名稱_所屬洲別="NA",ROW(名稱_所屬洲別),""),row(51:51))-1,0),"")</f>
        <v/>
      </c>
      <c r="C52" s="14" t="str">
        <f t="array" ref="C52">IFERROR(OFFSET('名稱對照'!E$1,SMALL(IF(名稱_所屬洲別="SA",ROW(名稱_所屬洲別),""),row(51:51))-1,0),"")</f>
        <v/>
      </c>
      <c r="D52" s="14" t="str">
        <f t="array" ref="D52">IFERROR(OFFSET('名稱對照'!E$1,SMALL(IF(名稱_所屬洲別="AF",ROW(名稱_所屬洲別),""),row(51:51))-1,0),"")</f>
        <v/>
      </c>
      <c r="E52" s="14" t="str">
        <f t="array" ref="E52">IFERROR(OFFSET('名稱對照'!E$1,SMALL(IF(名稱_所屬洲別="EU",ROW(名稱_所屬洲別),""),row(51:51))-1,0),"")</f>
        <v/>
      </c>
      <c r="F52" s="16" t="str">
        <f t="array" ref="F52">IFERROR(OFFSET('名稱對照'!E$1,SMALL(IF(名稱_所屬洲別="WA",ROW(名稱_所屬洲別),""),row(51:51))-1,0),"")</f>
        <v/>
      </c>
      <c r="G52" s="14" t="str">
        <f t="array" ref="G52">IFERROR(OFFSET('名稱對照'!E$1,SMALL(IF(名稱_所屬洲別="AP",ROW(名稱_所屬洲別),""),row(51:51))-1,0),"")</f>
        <v/>
      </c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14" t="str">
        <f t="array" ref="B53">IFERROR(OFFSET('名稱對照'!E$1,SMALL(IF(名稱_所屬洲別="NA",ROW(名稱_所屬洲別),""),row(52:52))-1,0),"")</f>
        <v/>
      </c>
      <c r="C53" s="14" t="str">
        <f t="array" ref="C53">IFERROR(OFFSET('名稱對照'!E$1,SMALL(IF(名稱_所屬洲別="SA",ROW(名稱_所屬洲別),""),row(52:52))-1,0),"")</f>
        <v/>
      </c>
      <c r="D53" s="14" t="str">
        <f t="array" ref="D53">IFERROR(OFFSET('名稱對照'!E$1,SMALL(IF(名稱_所屬洲別="AF",ROW(名稱_所屬洲別),""),row(52:52))-1,0),"")</f>
        <v/>
      </c>
      <c r="E53" s="14" t="str">
        <f t="array" ref="E53">IFERROR(OFFSET('名稱對照'!E$1,SMALL(IF(名稱_所屬洲別="EU",ROW(名稱_所屬洲別),""),row(52:52))-1,0),"")</f>
        <v/>
      </c>
      <c r="F53" s="16" t="str">
        <f t="array" ref="F53">IFERROR(OFFSET('名稱對照'!E$1,SMALL(IF(名稱_所屬洲別="WA",ROW(名稱_所屬洲別),""),row(52:52))-1,0),"")</f>
        <v/>
      </c>
      <c r="G53" s="14" t="str">
        <f t="array" ref="G53">IFERROR(OFFSET('名稱對照'!E$1,SMALL(IF(名稱_所屬洲別="AP",ROW(名稱_所屬洲別),""),row(52:52))-1,0),"")</f>
        <v/>
      </c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14" t="str">
        <f t="array" ref="B54">IFERROR(OFFSET('名稱對照'!E$1,SMALL(IF(名稱_所屬洲別="NA",ROW(名稱_所屬洲別),""),row(53:53))-1,0),"")</f>
        <v/>
      </c>
      <c r="C54" s="14" t="str">
        <f t="array" ref="C54">IFERROR(OFFSET('名稱對照'!E$1,SMALL(IF(名稱_所屬洲別="SA",ROW(名稱_所屬洲別),""),row(53:53))-1,0),"")</f>
        <v/>
      </c>
      <c r="D54" s="14" t="str">
        <f t="array" ref="D54">IFERROR(OFFSET('名稱對照'!E$1,SMALL(IF(名稱_所屬洲別="AF",ROW(名稱_所屬洲別),""),row(53:53))-1,0),"")</f>
        <v/>
      </c>
      <c r="E54" s="14" t="str">
        <f t="array" ref="E54">IFERROR(OFFSET('名稱對照'!E$1,SMALL(IF(名稱_所屬洲別="EU",ROW(名稱_所屬洲別),""),row(53:53))-1,0),"")</f>
        <v/>
      </c>
      <c r="F54" s="16" t="str">
        <f t="array" ref="F54">IFERROR(OFFSET('名稱對照'!E$1,SMALL(IF(名稱_所屬洲別="WA",ROW(名稱_所屬洲別),""),row(53:53))-1,0),"")</f>
        <v/>
      </c>
      <c r="G54" s="14" t="str">
        <f t="array" ref="G54">IFERROR(OFFSET('名稱對照'!E$1,SMALL(IF(名稱_所屬洲別="AP",ROW(名稱_所屬洲別),""),row(53:53))-1,0),"")</f>
        <v/>
      </c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14" t="str">
        <f t="array" ref="B55">IFERROR(OFFSET('名稱對照'!E$1,SMALL(IF(名稱_所屬洲別="NA",ROW(名稱_所屬洲別),""),row(54:54))-1,0),"")</f>
        <v/>
      </c>
      <c r="C55" s="14" t="str">
        <f t="array" ref="C55">IFERROR(OFFSET('名稱對照'!E$1,SMALL(IF(名稱_所屬洲別="SA",ROW(名稱_所屬洲別),""),row(54:54))-1,0),"")</f>
        <v/>
      </c>
      <c r="D55" s="14" t="str">
        <f t="array" ref="D55">IFERROR(OFFSET('名稱對照'!E$1,SMALL(IF(名稱_所屬洲別="AF",ROW(名稱_所屬洲別),""),row(54:54))-1,0),"")</f>
        <v/>
      </c>
      <c r="E55" s="14" t="str">
        <f t="array" ref="E55">IFERROR(OFFSET('名稱對照'!E$1,SMALL(IF(名稱_所屬洲別="EU",ROW(名稱_所屬洲別),""),row(54:54))-1,0),"")</f>
        <v/>
      </c>
      <c r="F55" s="16" t="str">
        <f t="array" ref="F55">IFERROR(OFFSET('名稱對照'!E$1,SMALL(IF(名稱_所屬洲別="WA",ROW(名稱_所屬洲別),""),row(54:54))-1,0),"")</f>
        <v/>
      </c>
      <c r="G55" s="14" t="str">
        <f t="array" ref="G55">IFERROR(OFFSET('名稱對照'!E$1,SMALL(IF(名稱_所屬洲別="AP",ROW(名稱_所屬洲別),""),row(54:54))-1,0),"")</f>
        <v/>
      </c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4" t="str">
        <f t="array" ref="B56">IFERROR(OFFSET('名稱對照'!E$1,SMALL(IF(名稱_所屬洲別="NA",ROW(名稱_所屬洲別),""),row(55:55))-1,0),"")</f>
        <v/>
      </c>
      <c r="C56" s="14" t="str">
        <f t="array" ref="C56">IFERROR(OFFSET('名稱對照'!E$1,SMALL(IF(名稱_所屬洲別="SA",ROW(名稱_所屬洲別),""),row(55:55))-1,0),"")</f>
        <v/>
      </c>
      <c r="D56" s="14" t="str">
        <f t="array" ref="D56">IFERROR(OFFSET('名稱對照'!E$1,SMALL(IF(名稱_所屬洲別="AF",ROW(名稱_所屬洲別),""),row(55:55))-1,0),"")</f>
        <v/>
      </c>
      <c r="E56" s="14" t="str">
        <f t="array" ref="E56">IFERROR(OFFSET('名稱對照'!E$1,SMALL(IF(名稱_所屬洲別="EU",ROW(名稱_所屬洲別),""),row(55:55))-1,0),"")</f>
        <v/>
      </c>
      <c r="F56" s="16" t="str">
        <f t="array" ref="F56">IFERROR(OFFSET('名稱對照'!E$1,SMALL(IF(名稱_所屬洲別="WA",ROW(名稱_所屬洲別),""),row(55:55))-1,0),"")</f>
        <v/>
      </c>
      <c r="G56" s="14" t="str">
        <f t="array" ref="G56">IFERROR(OFFSET('名稱對照'!E$1,SMALL(IF(名稱_所屬洲別="AP",ROW(名稱_所屬洲別),""),row(55:55))-1,0),"")</f>
        <v/>
      </c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4" t="str">
        <f t="array" ref="B57">IFERROR(OFFSET('名稱對照'!E$1,SMALL(IF(名稱_所屬洲別="NA",ROW(名稱_所屬洲別),""),row(56:56))-1,0),"")</f>
        <v/>
      </c>
      <c r="C57" s="14" t="str">
        <f t="array" ref="C57">IFERROR(OFFSET('名稱對照'!E$1,SMALL(IF(名稱_所屬洲別="SA",ROW(名稱_所屬洲別),""),row(56:56))-1,0),"")</f>
        <v/>
      </c>
      <c r="D57" s="14" t="str">
        <f t="array" ref="D57">IFERROR(OFFSET('名稱對照'!E$1,SMALL(IF(名稱_所屬洲別="AF",ROW(名稱_所屬洲別),""),row(56:56))-1,0),"")</f>
        <v/>
      </c>
      <c r="E57" s="14" t="str">
        <f t="array" ref="E57">IFERROR(OFFSET('名稱對照'!E$1,SMALL(IF(名稱_所屬洲別="EU",ROW(名稱_所屬洲別),""),row(56:56))-1,0),"")</f>
        <v/>
      </c>
      <c r="F57" s="16" t="str">
        <f t="array" ref="F57">IFERROR(OFFSET('名稱對照'!E$1,SMALL(IF(名稱_所屬洲別="WA",ROW(名稱_所屬洲別),""),row(56:56))-1,0),"")</f>
        <v/>
      </c>
      <c r="G57" s="14" t="str">
        <f t="array" ref="G57">IFERROR(OFFSET('名稱對照'!E$1,SMALL(IF(名稱_所屬洲別="AP",ROW(名稱_所屬洲別),""),row(56:56))-1,0),"")</f>
        <v/>
      </c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4" t="str">
        <f t="array" ref="B58">IFERROR(OFFSET('名稱對照'!E$1,SMALL(IF(名稱_所屬洲別="NA",ROW(名稱_所屬洲別),""),row(57:57))-1,0),"")</f>
        <v/>
      </c>
      <c r="C58" s="14" t="str">
        <f t="array" ref="C58">IFERROR(OFFSET('名稱對照'!E$1,SMALL(IF(名稱_所屬洲別="SA",ROW(名稱_所屬洲別),""),row(57:57))-1,0),"")</f>
        <v/>
      </c>
      <c r="D58" s="14" t="str">
        <f t="array" ref="D58">IFERROR(OFFSET('名稱對照'!E$1,SMALL(IF(名稱_所屬洲別="AF",ROW(名稱_所屬洲別),""),row(57:57))-1,0),"")</f>
        <v/>
      </c>
      <c r="E58" s="14" t="str">
        <f t="array" ref="E58">IFERROR(OFFSET('名稱對照'!E$1,SMALL(IF(名稱_所屬洲別="EU",ROW(名稱_所屬洲別),""),row(57:57))-1,0),"")</f>
        <v/>
      </c>
      <c r="F58" s="16" t="str">
        <f t="array" ref="F58">IFERROR(OFFSET('名稱對照'!E$1,SMALL(IF(名稱_所屬洲別="WA",ROW(名稱_所屬洲別),""),row(57:57))-1,0),"")</f>
        <v/>
      </c>
      <c r="G58" s="14" t="str">
        <f t="array" ref="G58">IFERROR(OFFSET('名稱對照'!E$1,SMALL(IF(名稱_所屬洲別="AP",ROW(名稱_所屬洲別),""),row(57:57))-1,0),"")</f>
        <v/>
      </c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4" t="str">
        <f t="array" ref="B59">IFERROR(OFFSET('名稱對照'!E$1,SMALL(IF(名稱_所屬洲別="NA",ROW(名稱_所屬洲別),""),row(58:58))-1,0),"")</f>
        <v/>
      </c>
      <c r="C59" s="14" t="str">
        <f t="array" ref="C59">IFERROR(OFFSET('名稱對照'!E$1,SMALL(IF(名稱_所屬洲別="SA",ROW(名稱_所屬洲別),""),row(58:58))-1,0),"")</f>
        <v/>
      </c>
      <c r="D59" s="14" t="str">
        <f t="array" ref="D59">IFERROR(OFFSET('名稱對照'!E$1,SMALL(IF(名稱_所屬洲別="AF",ROW(名稱_所屬洲別),""),row(58:58))-1,0),"")</f>
        <v/>
      </c>
      <c r="E59" s="14" t="str">
        <f t="array" ref="E59">IFERROR(OFFSET('名稱對照'!E$1,SMALL(IF(名稱_所屬洲別="EU",ROW(名稱_所屬洲別),""),row(58:58))-1,0),"")</f>
        <v/>
      </c>
      <c r="F59" s="16" t="str">
        <f t="array" ref="F59">IFERROR(OFFSET('名稱對照'!E$1,SMALL(IF(名稱_所屬洲別="WA",ROW(名稱_所屬洲別),""),row(58:58))-1,0),"")</f>
        <v/>
      </c>
      <c r="G59" s="14" t="str">
        <f t="array" ref="G59">IFERROR(OFFSET('名稱對照'!E$1,SMALL(IF(名稱_所屬洲別="AP",ROW(名稱_所屬洲別),""),row(58:58))-1,0),"")</f>
        <v/>
      </c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4" t="str">
        <f t="array" ref="B60">IFERROR(OFFSET('名稱對照'!E$1,SMALL(IF(名稱_所屬洲別="NA",ROW(名稱_所屬洲別),""),row(59:59))-1,0),"")</f>
        <v/>
      </c>
      <c r="C60" s="14" t="str">
        <f t="array" ref="C60">IFERROR(OFFSET('名稱對照'!E$1,SMALL(IF(名稱_所屬洲別="SA",ROW(名稱_所屬洲別),""),row(59:59))-1,0),"")</f>
        <v/>
      </c>
      <c r="D60" s="14" t="str">
        <f t="array" ref="D60">IFERROR(OFFSET('名稱對照'!E$1,SMALL(IF(名稱_所屬洲別="AF",ROW(名稱_所屬洲別),""),row(59:59))-1,0),"")</f>
        <v/>
      </c>
      <c r="E60" s="14" t="str">
        <f t="array" ref="E60">IFERROR(OFFSET('名稱對照'!E$1,SMALL(IF(名稱_所屬洲別="EU",ROW(名稱_所屬洲別),""),row(59:59))-1,0),"")</f>
        <v/>
      </c>
      <c r="F60" s="16" t="str">
        <f t="array" ref="F60">IFERROR(OFFSET('名稱對照'!E$1,SMALL(IF(名稱_所屬洲別="WA",ROW(名稱_所屬洲別),""),row(59:59))-1,0),"")</f>
        <v/>
      </c>
      <c r="G60" s="14" t="str">
        <f t="array" ref="G60">IFERROR(OFFSET('名稱對照'!E$1,SMALL(IF(名稱_所屬洲別="AP",ROW(名稱_所屬洲別),""),row(59:59))-1,0),"")</f>
        <v/>
      </c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4" t="str">
        <f t="array" ref="B61">IFERROR(OFFSET('名稱對照'!E$1,SMALL(IF(名稱_所屬洲別="NA",ROW(名稱_所屬洲別),""),row(60:60))-1,0),"")</f>
        <v/>
      </c>
      <c r="C61" s="14" t="str">
        <f t="array" ref="C61">IFERROR(OFFSET('名稱對照'!E$1,SMALL(IF(名稱_所屬洲別="SA",ROW(名稱_所屬洲別),""),row(60:60))-1,0),"")</f>
        <v/>
      </c>
      <c r="D61" s="14" t="str">
        <f t="array" ref="D61">IFERROR(OFFSET('名稱對照'!E$1,SMALL(IF(名稱_所屬洲別="AF",ROW(名稱_所屬洲別),""),row(60:60))-1,0),"")</f>
        <v/>
      </c>
      <c r="E61" s="14" t="str">
        <f t="array" ref="E61">IFERROR(OFFSET('名稱對照'!E$1,SMALL(IF(名稱_所屬洲別="EU",ROW(名稱_所屬洲別),""),row(60:60))-1,0),"")</f>
        <v/>
      </c>
      <c r="F61" s="16" t="str">
        <f t="array" ref="F61">IFERROR(OFFSET('名稱對照'!E$1,SMALL(IF(名稱_所屬洲別="WA",ROW(名稱_所屬洲別),""),row(60:60))-1,0),"")</f>
        <v/>
      </c>
      <c r="G61" s="14" t="str">
        <f t="array" ref="G61">IFERROR(OFFSET('名稱對照'!E$1,SMALL(IF(名稱_所屬洲別="AP",ROW(名稱_所屬洲別),""),row(60:60))-1,0),"")</f>
        <v/>
      </c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4" t="str">
        <f t="array" ref="B62">IFERROR(OFFSET('名稱對照'!E$1,SMALL(IF(名稱_所屬洲別="NA",ROW(名稱_所屬洲別),""),row(61:61))-1,0),"")</f>
        <v/>
      </c>
      <c r="C62" s="14" t="str">
        <f t="array" ref="C62">IFERROR(OFFSET('名稱對照'!E$1,SMALL(IF(名稱_所屬洲別="SA",ROW(名稱_所屬洲別),""),row(61:61))-1,0),"")</f>
        <v/>
      </c>
      <c r="D62" s="14" t="str">
        <f t="array" ref="D62">IFERROR(OFFSET('名稱對照'!E$1,SMALL(IF(名稱_所屬洲別="AF",ROW(名稱_所屬洲別),""),row(61:61))-1,0),"")</f>
        <v/>
      </c>
      <c r="E62" s="14" t="str">
        <f t="array" ref="E62">IFERROR(OFFSET('名稱對照'!E$1,SMALL(IF(名稱_所屬洲別="EU",ROW(名稱_所屬洲別),""),row(61:61))-1,0),"")</f>
        <v/>
      </c>
      <c r="F62" s="16" t="str">
        <f t="array" ref="F62">IFERROR(OFFSET('名稱對照'!E$1,SMALL(IF(名稱_所屬洲別="WA",ROW(名稱_所屬洲別),""),row(61:61))-1,0),"")</f>
        <v/>
      </c>
      <c r="G62" s="14" t="str">
        <f t="array" ref="G62">IFERROR(OFFSET('名稱對照'!E$1,SMALL(IF(名稱_所屬洲別="AP",ROW(名稱_所屬洲別),""),row(61:61))-1,0),"")</f>
        <v/>
      </c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4" t="str">
        <f t="array" ref="B63">IFERROR(OFFSET('名稱對照'!E$1,SMALL(IF(名稱_所屬洲別="NA",ROW(名稱_所屬洲別),""),row(62:62))-1,0),"")</f>
        <v/>
      </c>
      <c r="C63" s="14" t="str">
        <f t="array" ref="C63">IFERROR(OFFSET('名稱對照'!E$1,SMALL(IF(名稱_所屬洲別="SA",ROW(名稱_所屬洲別),""),row(62:62))-1,0),"")</f>
        <v/>
      </c>
      <c r="D63" s="14" t="str">
        <f t="array" ref="D63">IFERROR(OFFSET('名稱對照'!E$1,SMALL(IF(名稱_所屬洲別="AF",ROW(名稱_所屬洲別),""),row(62:62))-1,0),"")</f>
        <v/>
      </c>
      <c r="E63" s="14" t="str">
        <f t="array" ref="E63">IFERROR(OFFSET('名稱對照'!E$1,SMALL(IF(名稱_所屬洲別="EU",ROW(名稱_所屬洲別),""),row(62:62))-1,0),"")</f>
        <v/>
      </c>
      <c r="F63" s="16" t="str">
        <f t="array" ref="F63">IFERROR(OFFSET('名稱對照'!E$1,SMALL(IF(名稱_所屬洲別="WA",ROW(名稱_所屬洲別),""),row(62:62))-1,0),"")</f>
        <v/>
      </c>
      <c r="G63" s="14" t="str">
        <f t="array" ref="G63">IFERROR(OFFSET('名稱對照'!E$1,SMALL(IF(名稱_所屬洲別="AP",ROW(名稱_所屬洲別),""),row(62:62))-1,0),"")</f>
        <v/>
      </c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4" t="str">
        <f t="array" ref="B64">IFERROR(OFFSET('名稱對照'!E$1,SMALL(IF(名稱_所屬洲別="NA",ROW(名稱_所屬洲別),""),row(63:63))-1,0),"")</f>
        <v/>
      </c>
      <c r="C64" s="14" t="str">
        <f t="array" ref="C64">IFERROR(OFFSET('名稱對照'!E$1,SMALL(IF(名稱_所屬洲別="SA",ROW(名稱_所屬洲別),""),row(63:63))-1,0),"")</f>
        <v/>
      </c>
      <c r="D64" s="14" t="str">
        <f t="array" ref="D64">IFERROR(OFFSET('名稱對照'!E$1,SMALL(IF(名稱_所屬洲別="AF",ROW(名稱_所屬洲別),""),row(63:63))-1,0),"")</f>
        <v/>
      </c>
      <c r="E64" s="14" t="str">
        <f t="array" ref="E64">IFERROR(OFFSET('名稱對照'!E$1,SMALL(IF(名稱_所屬洲別="EU",ROW(名稱_所屬洲別),""),row(63:63))-1,0),"")</f>
        <v/>
      </c>
      <c r="F64" s="16" t="str">
        <f t="array" ref="F64">IFERROR(OFFSET('名稱對照'!E$1,SMALL(IF(名稱_所屬洲別="WA",ROW(名稱_所屬洲別),""),row(63:63))-1,0),"")</f>
        <v/>
      </c>
      <c r="G64" s="14" t="str">
        <f t="array" ref="G64">IFERROR(OFFSET('名稱對照'!E$1,SMALL(IF(名稱_所屬洲別="AP",ROW(名稱_所屬洲別),""),row(63:63))-1,0),"")</f>
        <v/>
      </c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4" t="str">
        <f t="array" ref="B65">IFERROR(OFFSET('名稱對照'!E$1,SMALL(IF(名稱_所屬洲別="NA",ROW(名稱_所屬洲別),""),row(64:64))-1,0),"")</f>
        <v/>
      </c>
      <c r="C65" s="14" t="str">
        <f t="array" ref="C65">IFERROR(OFFSET('名稱對照'!E$1,SMALL(IF(名稱_所屬洲別="SA",ROW(名稱_所屬洲別),""),row(64:64))-1,0),"")</f>
        <v/>
      </c>
      <c r="D65" s="14" t="str">
        <f t="array" ref="D65">IFERROR(OFFSET('名稱對照'!E$1,SMALL(IF(名稱_所屬洲別="AF",ROW(名稱_所屬洲別),""),row(64:64))-1,0),"")</f>
        <v/>
      </c>
      <c r="E65" s="14" t="str">
        <f t="array" ref="E65">IFERROR(OFFSET('名稱對照'!E$1,SMALL(IF(名稱_所屬洲別="EU",ROW(名稱_所屬洲別),""),row(64:64))-1,0),"")</f>
        <v/>
      </c>
      <c r="F65" s="16" t="str">
        <f t="array" ref="F65">IFERROR(OFFSET('名稱對照'!E$1,SMALL(IF(名稱_所屬洲別="WA",ROW(名稱_所屬洲別),""),row(64:64))-1,0),"")</f>
        <v/>
      </c>
      <c r="G65" s="14" t="str">
        <f t="array" ref="G65">IFERROR(OFFSET('名稱對照'!E$1,SMALL(IF(名稱_所屬洲別="AP",ROW(名稱_所屬洲別),""),row(64:64))-1,0),"")</f>
        <v/>
      </c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4" t="str">
        <f t="array" ref="B66">IFERROR(OFFSET('名稱對照'!E$1,SMALL(IF(名稱_所屬洲別="NA",ROW(名稱_所屬洲別),""),row(65:65))-1,0),"")</f>
        <v/>
      </c>
      <c r="C66" s="14" t="str">
        <f t="array" ref="C66">IFERROR(OFFSET('名稱對照'!E$1,SMALL(IF(名稱_所屬洲別="SA",ROW(名稱_所屬洲別),""),row(65:65))-1,0),"")</f>
        <v/>
      </c>
      <c r="D66" s="14" t="str">
        <f t="array" ref="D66">IFERROR(OFFSET('名稱對照'!E$1,SMALL(IF(名稱_所屬洲別="AF",ROW(名稱_所屬洲別),""),row(65:65))-1,0),"")</f>
        <v/>
      </c>
      <c r="E66" s="14" t="str">
        <f t="array" ref="E66">IFERROR(OFFSET('名稱對照'!E$1,SMALL(IF(名稱_所屬洲別="EU",ROW(名稱_所屬洲別),""),row(65:65))-1,0),"")</f>
        <v/>
      </c>
      <c r="F66" s="16" t="str">
        <f t="array" ref="F66">IFERROR(OFFSET('名稱對照'!E$1,SMALL(IF(名稱_所屬洲別="WA",ROW(名稱_所屬洲別),""),row(65:65))-1,0),"")</f>
        <v/>
      </c>
      <c r="G66" s="14" t="str">
        <f t="array" ref="G66">IFERROR(OFFSET('名稱對照'!E$1,SMALL(IF(名稱_所屬洲別="AP",ROW(名稱_所屬洲別),""),row(65:65))-1,0),"")</f>
        <v/>
      </c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4" t="str">
        <f t="array" ref="B67">IFERROR(OFFSET('名稱對照'!E$1,SMALL(IF(名稱_所屬洲別="NA",ROW(名稱_所屬洲別),""),row(66:66))-1,0),"")</f>
        <v/>
      </c>
      <c r="C67" s="14" t="str">
        <f t="array" ref="C67">IFERROR(OFFSET('名稱對照'!E$1,SMALL(IF(名稱_所屬洲別="SA",ROW(名稱_所屬洲別),""),row(66:66))-1,0),"")</f>
        <v/>
      </c>
      <c r="D67" s="14" t="str">
        <f t="array" ref="D67">IFERROR(OFFSET('名稱對照'!E$1,SMALL(IF(名稱_所屬洲別="AF",ROW(名稱_所屬洲別),""),row(66:66))-1,0),"")</f>
        <v/>
      </c>
      <c r="E67" s="14" t="str">
        <f t="array" ref="E67">IFERROR(OFFSET('名稱對照'!E$1,SMALL(IF(名稱_所屬洲別="EU",ROW(名稱_所屬洲別),""),row(66:66))-1,0),"")</f>
        <v/>
      </c>
      <c r="F67" s="16" t="str">
        <f t="array" ref="F67">IFERROR(OFFSET('名稱對照'!E$1,SMALL(IF(名稱_所屬洲別="WA",ROW(名稱_所屬洲別),""),row(66:66))-1,0),"")</f>
        <v/>
      </c>
      <c r="G67" s="14" t="str">
        <f t="array" ref="G67">IFERROR(OFFSET('名稱對照'!E$1,SMALL(IF(名稱_所屬洲別="AP",ROW(名稱_所屬洲別),""),row(66:66))-1,0),"")</f>
        <v/>
      </c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4" t="str">
        <f t="array" ref="B68">IFERROR(OFFSET('名稱對照'!E$1,SMALL(IF(名稱_所屬洲別="NA",ROW(名稱_所屬洲別),""),row(67:67))-1,0),"")</f>
        <v/>
      </c>
      <c r="C68" s="14" t="str">
        <f t="array" ref="C68">IFERROR(OFFSET('名稱對照'!E$1,SMALL(IF(名稱_所屬洲別="SA",ROW(名稱_所屬洲別),""),row(67:67))-1,0),"")</f>
        <v/>
      </c>
      <c r="D68" s="14" t="str">
        <f t="array" ref="D68">IFERROR(OFFSET('名稱對照'!E$1,SMALL(IF(名稱_所屬洲別="AF",ROW(名稱_所屬洲別),""),row(67:67))-1,0),"")</f>
        <v/>
      </c>
      <c r="E68" s="14" t="str">
        <f t="array" ref="E68">IFERROR(OFFSET('名稱對照'!E$1,SMALL(IF(名稱_所屬洲別="EU",ROW(名稱_所屬洲別),""),row(67:67))-1,0),"")</f>
        <v/>
      </c>
      <c r="F68" s="16" t="str">
        <f t="array" ref="F68">IFERROR(OFFSET('名稱對照'!E$1,SMALL(IF(名稱_所屬洲別="WA",ROW(名稱_所屬洲別),""),row(67:67))-1,0),"")</f>
        <v/>
      </c>
      <c r="G68" s="14" t="str">
        <f t="array" ref="G68">IFERROR(OFFSET('名稱對照'!E$1,SMALL(IF(名稱_所屬洲別="AP",ROW(名稱_所屬洲別),""),row(67:67))-1,0),"")</f>
        <v/>
      </c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4" t="str">
        <f t="array" ref="B69">IFERROR(OFFSET('名稱對照'!E$1,SMALL(IF(名稱_所屬洲別="NA",ROW(名稱_所屬洲別),""),row(68:68))-1,0),"")</f>
        <v/>
      </c>
      <c r="C69" s="14" t="str">
        <f t="array" ref="C69">IFERROR(OFFSET('名稱對照'!E$1,SMALL(IF(名稱_所屬洲別="SA",ROW(名稱_所屬洲別),""),row(68:68))-1,0),"")</f>
        <v/>
      </c>
      <c r="D69" s="14" t="str">
        <f t="array" ref="D69">IFERROR(OFFSET('名稱對照'!E$1,SMALL(IF(名稱_所屬洲別="AF",ROW(名稱_所屬洲別),""),row(68:68))-1,0),"")</f>
        <v/>
      </c>
      <c r="E69" s="14" t="str">
        <f t="array" ref="E69">IFERROR(OFFSET('名稱對照'!E$1,SMALL(IF(名稱_所屬洲別="EU",ROW(名稱_所屬洲別),""),row(68:68))-1,0),"")</f>
        <v/>
      </c>
      <c r="F69" s="16" t="str">
        <f t="array" ref="F69">IFERROR(OFFSET('名稱對照'!E$1,SMALL(IF(名稱_所屬洲別="WA",ROW(名稱_所屬洲別),""),row(68:68))-1,0),"")</f>
        <v/>
      </c>
      <c r="G69" s="14" t="str">
        <f t="array" ref="G69">IFERROR(OFFSET('名稱對照'!E$1,SMALL(IF(名稱_所屬洲別="AP",ROW(名稱_所屬洲別),""),row(68:68))-1,0),"")</f>
        <v/>
      </c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4" t="str">
        <f t="array" ref="B70">IFERROR(OFFSET('名稱對照'!E$1,SMALL(IF(名稱_所屬洲別="NA",ROW(名稱_所屬洲別),""),row(69:69))-1,0),"")</f>
        <v/>
      </c>
      <c r="C70" s="14" t="str">
        <f t="array" ref="C70">IFERROR(OFFSET('名稱對照'!E$1,SMALL(IF(名稱_所屬洲別="SA",ROW(名稱_所屬洲別),""),row(69:69))-1,0),"")</f>
        <v/>
      </c>
      <c r="D70" s="14" t="str">
        <f t="array" ref="D70">IFERROR(OFFSET('名稱對照'!E$1,SMALL(IF(名稱_所屬洲別="AF",ROW(名稱_所屬洲別),""),row(69:69))-1,0),"")</f>
        <v/>
      </c>
      <c r="E70" s="14" t="str">
        <f t="array" ref="E70">IFERROR(OFFSET('名稱對照'!E$1,SMALL(IF(名稱_所屬洲別="EU",ROW(名稱_所屬洲別),""),row(69:69))-1,0),"")</f>
        <v/>
      </c>
      <c r="F70" s="16" t="str">
        <f t="array" ref="F70">IFERROR(OFFSET('名稱對照'!E$1,SMALL(IF(名稱_所屬洲別="WA",ROW(名稱_所屬洲別),""),row(69:69))-1,0),"")</f>
        <v/>
      </c>
      <c r="G70" s="14" t="str">
        <f t="array" ref="G70">IFERROR(OFFSET('名稱對照'!E$1,SMALL(IF(名稱_所屬洲別="AP",ROW(名稱_所屬洲別),""),row(69:69))-1,0),"")</f>
        <v/>
      </c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4" t="str">
        <f t="array" ref="B71">IFERROR(OFFSET('名稱對照'!E$1,SMALL(IF(名稱_所屬洲別="NA",ROW(名稱_所屬洲別),""),row(70:70))-1,0),"")</f>
        <v/>
      </c>
      <c r="C71" s="14" t="str">
        <f t="array" ref="C71">IFERROR(OFFSET('名稱對照'!E$1,SMALL(IF(名稱_所屬洲別="SA",ROW(名稱_所屬洲別),""),row(70:70))-1,0),"")</f>
        <v/>
      </c>
      <c r="D71" s="14" t="str">
        <f t="array" ref="D71">IFERROR(OFFSET('名稱對照'!E$1,SMALL(IF(名稱_所屬洲別="AF",ROW(名稱_所屬洲別),""),row(70:70))-1,0),"")</f>
        <v/>
      </c>
      <c r="E71" s="14" t="str">
        <f t="array" ref="E71">IFERROR(OFFSET('名稱對照'!E$1,SMALL(IF(名稱_所屬洲別="EU",ROW(名稱_所屬洲別),""),row(70:70))-1,0),"")</f>
        <v/>
      </c>
      <c r="F71" s="16" t="str">
        <f t="array" ref="F71">IFERROR(OFFSET('名稱對照'!E$1,SMALL(IF(名稱_所屬洲別="WA",ROW(名稱_所屬洲別),""),row(70:70))-1,0),"")</f>
        <v/>
      </c>
      <c r="G71" s="14" t="str">
        <f t="array" ref="G71">IFERROR(OFFSET('名稱對照'!E$1,SMALL(IF(名稱_所屬洲別="AP",ROW(名稱_所屬洲別),""),row(70:70))-1,0),"")</f>
        <v/>
      </c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4" t="str">
        <f t="array" ref="B72">IFERROR(OFFSET('名稱對照'!E$1,SMALL(IF(名稱_所屬洲別="NA",ROW(名稱_所屬洲別),""),row(71:71))-1,0),"")</f>
        <v/>
      </c>
      <c r="C72" s="14" t="str">
        <f t="array" ref="C72">IFERROR(OFFSET('名稱對照'!E$1,SMALL(IF(名稱_所屬洲別="SA",ROW(名稱_所屬洲別),""),row(71:71))-1,0),"")</f>
        <v/>
      </c>
      <c r="D72" s="14" t="str">
        <f t="array" ref="D72">IFERROR(OFFSET('名稱對照'!E$1,SMALL(IF(名稱_所屬洲別="AF",ROW(名稱_所屬洲別),""),row(71:71))-1,0),"")</f>
        <v/>
      </c>
      <c r="E72" s="14" t="str">
        <f t="array" ref="E72">IFERROR(OFFSET('名稱對照'!E$1,SMALL(IF(名稱_所屬洲別="EU",ROW(名稱_所屬洲別),""),row(71:71))-1,0),"")</f>
        <v/>
      </c>
      <c r="F72" s="16" t="str">
        <f t="array" ref="F72">IFERROR(OFFSET('名稱對照'!E$1,SMALL(IF(名稱_所屬洲別="WA",ROW(名稱_所屬洲別),""),row(71:71))-1,0),"")</f>
        <v/>
      </c>
      <c r="G72" s="14" t="str">
        <f t="array" ref="G72">IFERROR(OFFSET('名稱對照'!E$1,SMALL(IF(名稱_所屬洲別="AP",ROW(名稱_所屬洲別),""),row(71:71))-1,0),"")</f>
        <v/>
      </c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4" t="str">
        <f t="array" ref="B73">IFERROR(OFFSET('名稱對照'!E$1,SMALL(IF(名稱_所屬洲別="NA",ROW(名稱_所屬洲別),""),row(72:72))-1,0),"")</f>
        <v/>
      </c>
      <c r="C73" s="14" t="str">
        <f t="array" ref="C73">IFERROR(OFFSET('名稱對照'!E$1,SMALL(IF(名稱_所屬洲別="SA",ROW(名稱_所屬洲別),""),row(72:72))-1,0),"")</f>
        <v/>
      </c>
      <c r="D73" s="14" t="str">
        <f t="array" ref="D73">IFERROR(OFFSET('名稱對照'!E$1,SMALL(IF(名稱_所屬洲別="AF",ROW(名稱_所屬洲別),""),row(72:72))-1,0),"")</f>
        <v/>
      </c>
      <c r="E73" s="14" t="str">
        <f t="array" ref="E73">IFERROR(OFFSET('名稱對照'!E$1,SMALL(IF(名稱_所屬洲別="EU",ROW(名稱_所屬洲別),""),row(72:72))-1,0),"")</f>
        <v/>
      </c>
      <c r="F73" s="16" t="str">
        <f t="array" ref="F73">IFERROR(OFFSET('名稱對照'!E$1,SMALL(IF(名稱_所屬洲別="WA",ROW(名稱_所屬洲別),""),row(72:72))-1,0),"")</f>
        <v/>
      </c>
      <c r="G73" s="14" t="str">
        <f t="array" ref="G73">IFERROR(OFFSET('名稱對照'!E$1,SMALL(IF(名稱_所屬洲別="AP",ROW(名稱_所屬洲別),""),row(72:72))-1,0),"")</f>
        <v/>
      </c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4" t="str">
        <f t="array" ref="B74">IFERROR(OFFSET('名稱對照'!E$1,SMALL(IF(名稱_所屬洲別="NA",ROW(名稱_所屬洲別),""),row(73:73))-1,0),"")</f>
        <v/>
      </c>
      <c r="C74" s="14" t="str">
        <f t="array" ref="C74">IFERROR(OFFSET('名稱對照'!E$1,SMALL(IF(名稱_所屬洲別="SA",ROW(名稱_所屬洲別),""),row(73:73))-1,0),"")</f>
        <v/>
      </c>
      <c r="D74" s="14" t="str">
        <f t="array" ref="D74">IFERROR(OFFSET('名稱對照'!E$1,SMALL(IF(名稱_所屬洲別="AF",ROW(名稱_所屬洲別),""),row(73:73))-1,0),"")</f>
        <v/>
      </c>
      <c r="E74" s="14" t="str">
        <f t="array" ref="E74">IFERROR(OFFSET('名稱對照'!E$1,SMALL(IF(名稱_所屬洲別="EU",ROW(名稱_所屬洲別),""),row(73:73))-1,0),"")</f>
        <v/>
      </c>
      <c r="F74" s="16" t="str">
        <f t="array" ref="F74">IFERROR(OFFSET('名稱對照'!E$1,SMALL(IF(名稱_所屬洲別="WA",ROW(名稱_所屬洲別),""),row(73:73))-1,0),"")</f>
        <v/>
      </c>
      <c r="G74" s="14" t="str">
        <f t="array" ref="G74">IFERROR(OFFSET('名稱對照'!E$1,SMALL(IF(名稱_所屬洲別="AP",ROW(名稱_所屬洲別),""),row(73:73))-1,0),"")</f>
        <v/>
      </c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4" t="str">
        <f t="array" ref="B75">IFERROR(OFFSET('名稱對照'!E$1,SMALL(IF(名稱_所屬洲別="NA",ROW(名稱_所屬洲別),""),row(74:74))-1,0),"")</f>
        <v/>
      </c>
      <c r="C75" s="14" t="str">
        <f t="array" ref="C75">IFERROR(OFFSET('名稱對照'!E$1,SMALL(IF(名稱_所屬洲別="SA",ROW(名稱_所屬洲別),""),row(74:74))-1,0),"")</f>
        <v/>
      </c>
      <c r="D75" s="14" t="str">
        <f t="array" ref="D75">IFERROR(OFFSET('名稱對照'!E$1,SMALL(IF(名稱_所屬洲別="AF",ROW(名稱_所屬洲別),""),row(74:74))-1,0),"")</f>
        <v/>
      </c>
      <c r="E75" s="14" t="str">
        <f t="array" ref="E75">IFERROR(OFFSET('名稱對照'!E$1,SMALL(IF(名稱_所屬洲別="EU",ROW(名稱_所屬洲別),""),row(74:74))-1,0),"")</f>
        <v/>
      </c>
      <c r="F75" s="16" t="str">
        <f t="array" ref="F75">IFERROR(OFFSET('名稱對照'!E$1,SMALL(IF(名稱_所屬洲別="WA",ROW(名稱_所屬洲別),""),row(74:74))-1,0),"")</f>
        <v/>
      </c>
      <c r="G75" s="14" t="str">
        <f t="array" ref="G75">IFERROR(OFFSET('名稱對照'!E$1,SMALL(IF(名稱_所屬洲別="AP",ROW(名稱_所屬洲別),""),row(74:74))-1,0),"")</f>
        <v/>
      </c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4" t="str">
        <f t="array" ref="B76">IFERROR(OFFSET('名稱對照'!E$1,SMALL(IF(名稱_所屬洲別="NA",ROW(名稱_所屬洲別),""),row(75:75))-1,0),"")</f>
        <v/>
      </c>
      <c r="C76" s="14" t="str">
        <f t="array" ref="C76">IFERROR(OFFSET('名稱對照'!E$1,SMALL(IF(名稱_所屬洲別="SA",ROW(名稱_所屬洲別),""),row(75:75))-1,0),"")</f>
        <v/>
      </c>
      <c r="D76" s="14" t="str">
        <f t="array" ref="D76">IFERROR(OFFSET('名稱對照'!E$1,SMALL(IF(名稱_所屬洲別="AF",ROW(名稱_所屬洲別),""),row(75:75))-1,0),"")</f>
        <v/>
      </c>
      <c r="E76" s="14" t="str">
        <f t="array" ref="E76">IFERROR(OFFSET('名稱對照'!E$1,SMALL(IF(名稱_所屬洲別="EU",ROW(名稱_所屬洲別),""),row(75:75))-1,0),"")</f>
        <v/>
      </c>
      <c r="F76" s="16" t="str">
        <f t="array" ref="F76">IFERROR(OFFSET('名稱對照'!E$1,SMALL(IF(名稱_所屬洲別="WA",ROW(名稱_所屬洲別),""),row(75:75))-1,0),"")</f>
        <v/>
      </c>
      <c r="G76" s="14" t="str">
        <f t="array" ref="G76">IFERROR(OFFSET('名稱對照'!E$1,SMALL(IF(名稱_所屬洲別="AP",ROW(名稱_所屬洲別),""),row(75:75))-1,0),"")</f>
        <v/>
      </c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4" t="str">
        <f t="array" ref="B77">IFERROR(OFFSET('名稱對照'!E$1,SMALL(IF(名稱_所屬洲別="NA",ROW(名稱_所屬洲別),""),row(76:76))-1,0),"")</f>
        <v/>
      </c>
      <c r="C77" s="14" t="str">
        <f t="array" ref="C77">IFERROR(OFFSET('名稱對照'!E$1,SMALL(IF(名稱_所屬洲別="SA",ROW(名稱_所屬洲別),""),row(76:76))-1,0),"")</f>
        <v/>
      </c>
      <c r="D77" s="14" t="str">
        <f t="array" ref="D77">IFERROR(OFFSET('名稱對照'!E$1,SMALL(IF(名稱_所屬洲別="AF",ROW(名稱_所屬洲別),""),row(76:76))-1,0),"")</f>
        <v/>
      </c>
      <c r="E77" s="14" t="str">
        <f t="array" ref="E77">IFERROR(OFFSET('名稱對照'!E$1,SMALL(IF(名稱_所屬洲別="EU",ROW(名稱_所屬洲別),""),row(76:76))-1,0),"")</f>
        <v/>
      </c>
      <c r="F77" s="16" t="str">
        <f t="array" ref="F77">IFERROR(OFFSET('名稱對照'!E$1,SMALL(IF(名稱_所屬洲別="WA",ROW(名稱_所屬洲別),""),row(76:76))-1,0),"")</f>
        <v/>
      </c>
      <c r="G77" s="14" t="str">
        <f t="array" ref="G77">IFERROR(OFFSET('名稱對照'!E$1,SMALL(IF(名稱_所屬洲別="AP",ROW(名稱_所屬洲別),""),row(76:76))-1,0),"")</f>
        <v/>
      </c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4" t="str">
        <f t="array" ref="B78">IFERROR(OFFSET('名稱對照'!E$1,SMALL(IF(名稱_所屬洲別="NA",ROW(名稱_所屬洲別),""),row(77:77))-1,0),"")</f>
        <v/>
      </c>
      <c r="C78" s="14" t="str">
        <f t="array" ref="C78">IFERROR(OFFSET('名稱對照'!E$1,SMALL(IF(名稱_所屬洲別="SA",ROW(名稱_所屬洲別),""),row(77:77))-1,0),"")</f>
        <v/>
      </c>
      <c r="D78" s="14" t="str">
        <f t="array" ref="D78">IFERROR(OFFSET('名稱對照'!E$1,SMALL(IF(名稱_所屬洲別="AF",ROW(名稱_所屬洲別),""),row(77:77))-1,0),"")</f>
        <v/>
      </c>
      <c r="E78" s="14" t="str">
        <f t="array" ref="E78">IFERROR(OFFSET('名稱對照'!E$1,SMALL(IF(名稱_所屬洲別="EU",ROW(名稱_所屬洲別),""),row(77:77))-1,0),"")</f>
        <v/>
      </c>
      <c r="F78" s="16" t="str">
        <f t="array" ref="F78">IFERROR(OFFSET('名稱對照'!E$1,SMALL(IF(名稱_所屬洲別="WA",ROW(名稱_所屬洲別),""),row(77:77))-1,0),"")</f>
        <v/>
      </c>
      <c r="G78" s="14" t="str">
        <f t="array" ref="G78">IFERROR(OFFSET('名稱對照'!E$1,SMALL(IF(名稱_所屬洲別="AP",ROW(名稱_所屬洲別),""),row(77:77))-1,0),"")</f>
        <v/>
      </c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4" t="str">
        <f t="array" ref="B79">IFERROR(OFFSET('名稱對照'!E$1,SMALL(IF(名稱_所屬洲別="NA",ROW(名稱_所屬洲別),""),row(78:78))-1,0),"")</f>
        <v/>
      </c>
      <c r="C79" s="14" t="str">
        <f t="array" ref="C79">IFERROR(OFFSET('名稱對照'!E$1,SMALL(IF(名稱_所屬洲別="SA",ROW(名稱_所屬洲別),""),row(78:78))-1,0),"")</f>
        <v/>
      </c>
      <c r="D79" s="14" t="str">
        <f t="array" ref="D79">IFERROR(OFFSET('名稱對照'!E$1,SMALL(IF(名稱_所屬洲別="AF",ROW(名稱_所屬洲別),""),row(78:78))-1,0),"")</f>
        <v/>
      </c>
      <c r="E79" s="14" t="str">
        <f t="array" ref="E79">IFERROR(OFFSET('名稱對照'!E$1,SMALL(IF(名稱_所屬洲別="EU",ROW(名稱_所屬洲別),""),row(78:78))-1,0),"")</f>
        <v/>
      </c>
      <c r="F79" s="16" t="str">
        <f t="array" ref="F79">IFERROR(OFFSET('名稱對照'!E$1,SMALL(IF(名稱_所屬洲別="WA",ROW(名稱_所屬洲別),""),row(78:78))-1,0),"")</f>
        <v/>
      </c>
      <c r="G79" s="14" t="str">
        <f t="array" ref="G79">IFERROR(OFFSET('名稱對照'!E$1,SMALL(IF(名稱_所屬洲別="AP",ROW(名稱_所屬洲別),""),row(78:78))-1,0),"")</f>
        <v/>
      </c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4" t="str">
        <f t="array" ref="B80">IFERROR(OFFSET('名稱對照'!E$1,SMALL(IF(名稱_所屬洲別="NA",ROW(名稱_所屬洲別),""),row(79:79))-1,0),"")</f>
        <v/>
      </c>
      <c r="C80" s="14" t="str">
        <f t="array" ref="C80">IFERROR(OFFSET('名稱對照'!E$1,SMALL(IF(名稱_所屬洲別="SA",ROW(名稱_所屬洲別),""),row(79:79))-1,0),"")</f>
        <v/>
      </c>
      <c r="D80" s="14" t="str">
        <f t="array" ref="D80">IFERROR(OFFSET('名稱對照'!E$1,SMALL(IF(名稱_所屬洲別="AF",ROW(名稱_所屬洲別),""),row(79:79))-1,0),"")</f>
        <v/>
      </c>
      <c r="E80" s="14" t="str">
        <f t="array" ref="E80">IFERROR(OFFSET('名稱對照'!E$1,SMALL(IF(名稱_所屬洲別="EU",ROW(名稱_所屬洲別),""),row(79:79))-1,0),"")</f>
        <v/>
      </c>
      <c r="F80" s="16" t="str">
        <f t="array" ref="F80">IFERROR(OFFSET('名稱對照'!E$1,SMALL(IF(名稱_所屬洲別="WA",ROW(名稱_所屬洲別),""),row(79:79))-1,0),"")</f>
        <v/>
      </c>
      <c r="G80" s="14" t="str">
        <f t="array" ref="G80">IFERROR(OFFSET('名稱對照'!E$1,SMALL(IF(名稱_所屬洲別="AP",ROW(名稱_所屬洲別),""),row(79:79))-1,0),"")</f>
        <v/>
      </c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4" t="str">
        <f t="array" ref="B81">IFERROR(OFFSET('名稱對照'!E$1,SMALL(IF(名稱_所屬洲別="NA",ROW(名稱_所屬洲別),""),row(80:80))-1,0),"")</f>
        <v/>
      </c>
      <c r="C81" s="14" t="str">
        <f t="array" ref="C81">IFERROR(OFFSET('名稱對照'!E$1,SMALL(IF(名稱_所屬洲別="SA",ROW(名稱_所屬洲別),""),row(80:80))-1,0),"")</f>
        <v/>
      </c>
      <c r="D81" s="14" t="str">
        <f t="array" ref="D81">IFERROR(OFFSET('名稱對照'!E$1,SMALL(IF(名稱_所屬洲別="AF",ROW(名稱_所屬洲別),""),row(80:80))-1,0),"")</f>
        <v/>
      </c>
      <c r="E81" s="14" t="str">
        <f t="array" ref="E81">IFERROR(OFFSET('名稱對照'!E$1,SMALL(IF(名稱_所屬洲別="EU",ROW(名稱_所屬洲別),""),row(80:80))-1,0),"")</f>
        <v/>
      </c>
      <c r="F81" s="16" t="str">
        <f t="array" ref="F81">IFERROR(OFFSET('名稱對照'!E$1,SMALL(IF(名稱_所屬洲別="WA",ROW(名稱_所屬洲別),""),row(80:80))-1,0),"")</f>
        <v/>
      </c>
      <c r="G81" s="14" t="str">
        <f t="array" ref="G81">IFERROR(OFFSET('名稱對照'!E$1,SMALL(IF(名稱_所屬洲別="AP",ROW(名稱_所屬洲別),""),row(80:80))-1,0),"")</f>
        <v/>
      </c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4" t="str">
        <f t="array" ref="B82">IFERROR(OFFSET('名稱對照'!E$1,SMALL(IF(名稱_所屬洲別="NA",ROW(名稱_所屬洲別),""),row(81:81))-1,0),"")</f>
        <v/>
      </c>
      <c r="C82" s="14" t="str">
        <f t="array" ref="C82">IFERROR(OFFSET('名稱對照'!E$1,SMALL(IF(名稱_所屬洲別="SA",ROW(名稱_所屬洲別),""),row(81:81))-1,0),"")</f>
        <v/>
      </c>
      <c r="D82" s="14" t="str">
        <f t="array" ref="D82">IFERROR(OFFSET('名稱對照'!E$1,SMALL(IF(名稱_所屬洲別="AF",ROW(名稱_所屬洲別),""),row(81:81))-1,0),"")</f>
        <v/>
      </c>
      <c r="E82" s="14" t="str">
        <f t="array" ref="E82">IFERROR(OFFSET('名稱對照'!E$1,SMALL(IF(名稱_所屬洲別="EU",ROW(名稱_所屬洲別),""),row(81:81))-1,0),"")</f>
        <v/>
      </c>
      <c r="F82" s="16" t="str">
        <f t="array" ref="F82">IFERROR(OFFSET('名稱對照'!E$1,SMALL(IF(名稱_所屬洲別="WA",ROW(名稱_所屬洲別),""),row(81:81))-1,0),"")</f>
        <v/>
      </c>
      <c r="G82" s="14" t="str">
        <f t="array" ref="G82">IFERROR(OFFSET('名稱對照'!E$1,SMALL(IF(名稱_所屬洲別="AP",ROW(名稱_所屬洲別),""),row(81:81))-1,0),"")</f>
        <v/>
      </c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4" t="str">
        <f t="array" ref="B83">IFERROR(OFFSET('名稱對照'!E$1,SMALL(IF(名稱_所屬洲別="NA",ROW(名稱_所屬洲別),""),row(82:82))-1,0),"")</f>
        <v/>
      </c>
      <c r="C83" s="14" t="str">
        <f t="array" ref="C83">IFERROR(OFFSET('名稱對照'!E$1,SMALL(IF(名稱_所屬洲別="SA",ROW(名稱_所屬洲別),""),row(82:82))-1,0),"")</f>
        <v/>
      </c>
      <c r="D83" s="14" t="str">
        <f t="array" ref="D83">IFERROR(OFFSET('名稱對照'!E$1,SMALL(IF(名稱_所屬洲別="AF",ROW(名稱_所屬洲別),""),row(82:82))-1,0),"")</f>
        <v/>
      </c>
      <c r="E83" s="14" t="str">
        <f t="array" ref="E83">IFERROR(OFFSET('名稱對照'!E$1,SMALL(IF(名稱_所屬洲別="EU",ROW(名稱_所屬洲別),""),row(82:82))-1,0),"")</f>
        <v/>
      </c>
      <c r="F83" s="16" t="str">
        <f t="array" ref="F83">IFERROR(OFFSET('名稱對照'!E$1,SMALL(IF(名稱_所屬洲別="WA",ROW(名稱_所屬洲別),""),row(82:82))-1,0),"")</f>
        <v/>
      </c>
      <c r="G83" s="14" t="str">
        <f t="array" ref="G83">IFERROR(OFFSET('名稱對照'!E$1,SMALL(IF(名稱_所屬洲別="AP",ROW(名稱_所屬洲別),""),row(82:82))-1,0),"")</f>
        <v/>
      </c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4" t="str">
        <f t="array" ref="B84">IFERROR(OFFSET('名稱對照'!E$1,SMALL(IF(名稱_所屬洲別="NA",ROW(名稱_所屬洲別),""),row(83:83))-1,0),"")</f>
        <v/>
      </c>
      <c r="C84" s="14" t="str">
        <f t="array" ref="C84">IFERROR(OFFSET('名稱對照'!E$1,SMALL(IF(名稱_所屬洲別="SA",ROW(名稱_所屬洲別),""),row(83:83))-1,0),"")</f>
        <v/>
      </c>
      <c r="D84" s="14" t="str">
        <f t="array" ref="D84">IFERROR(OFFSET('名稱對照'!E$1,SMALL(IF(名稱_所屬洲別="AF",ROW(名稱_所屬洲別),""),row(83:83))-1,0),"")</f>
        <v/>
      </c>
      <c r="E84" s="14" t="str">
        <f t="array" ref="E84">IFERROR(OFFSET('名稱對照'!E$1,SMALL(IF(名稱_所屬洲別="EU",ROW(名稱_所屬洲別),""),row(83:83))-1,0),"")</f>
        <v/>
      </c>
      <c r="F84" s="16" t="str">
        <f t="array" ref="F84">IFERROR(OFFSET('名稱對照'!E$1,SMALL(IF(名稱_所屬洲別="WA",ROW(名稱_所屬洲別),""),row(83:83))-1,0),"")</f>
        <v/>
      </c>
      <c r="G84" s="14" t="str">
        <f t="array" ref="G84">IFERROR(OFFSET('名稱對照'!E$1,SMALL(IF(名稱_所屬洲別="AP",ROW(名稱_所屬洲別),""),row(83:83))-1,0),"")</f>
        <v/>
      </c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4" t="str">
        <f t="array" ref="B85">IFERROR(OFFSET('名稱對照'!E$1,SMALL(IF(名稱_所屬洲別="NA",ROW(名稱_所屬洲別),""),row(84:84))-1,0),"")</f>
        <v/>
      </c>
      <c r="C85" s="14" t="str">
        <f t="array" ref="C85">IFERROR(OFFSET('名稱對照'!E$1,SMALL(IF(名稱_所屬洲別="SA",ROW(名稱_所屬洲別),""),row(84:84))-1,0),"")</f>
        <v/>
      </c>
      <c r="D85" s="14" t="str">
        <f t="array" ref="D85">IFERROR(OFFSET('名稱對照'!E$1,SMALL(IF(名稱_所屬洲別="AF",ROW(名稱_所屬洲別),""),row(84:84))-1,0),"")</f>
        <v/>
      </c>
      <c r="E85" s="14" t="str">
        <f t="array" ref="E85">IFERROR(OFFSET('名稱對照'!E$1,SMALL(IF(名稱_所屬洲別="EU",ROW(名稱_所屬洲別),""),row(84:84))-1,0),"")</f>
        <v/>
      </c>
      <c r="F85" s="16" t="str">
        <f t="array" ref="F85">IFERROR(OFFSET('名稱對照'!E$1,SMALL(IF(名稱_所屬洲別="WA",ROW(名稱_所屬洲別),""),row(84:84))-1,0),"")</f>
        <v/>
      </c>
      <c r="G85" s="14" t="str">
        <f t="array" ref="G85">IFERROR(OFFSET('名稱對照'!E$1,SMALL(IF(名稱_所屬洲別="AP",ROW(名稱_所屬洲別),""),row(84:84))-1,0),"")</f>
        <v/>
      </c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4" t="str">
        <f t="array" ref="B86">IFERROR(OFFSET('名稱對照'!E$1,SMALL(IF(名稱_所屬洲別="NA",ROW(名稱_所屬洲別),""),row(85:85))-1,0),"")</f>
        <v/>
      </c>
      <c r="C86" s="14" t="str">
        <f t="array" ref="C86">IFERROR(OFFSET('名稱對照'!E$1,SMALL(IF(名稱_所屬洲別="SA",ROW(名稱_所屬洲別),""),row(85:85))-1,0),"")</f>
        <v/>
      </c>
      <c r="D86" s="14" t="str">
        <f t="array" ref="D86">IFERROR(OFFSET('名稱對照'!E$1,SMALL(IF(名稱_所屬洲別="AF",ROW(名稱_所屬洲別),""),row(85:85))-1,0),"")</f>
        <v/>
      </c>
      <c r="E86" s="14" t="str">
        <f t="array" ref="E86">IFERROR(OFFSET('名稱對照'!E$1,SMALL(IF(名稱_所屬洲別="EU",ROW(名稱_所屬洲別),""),row(85:85))-1,0),"")</f>
        <v/>
      </c>
      <c r="F86" s="16" t="str">
        <f t="array" ref="F86">IFERROR(OFFSET('名稱對照'!E$1,SMALL(IF(名稱_所屬洲別="WA",ROW(名稱_所屬洲別),""),row(85:85))-1,0),"")</f>
        <v/>
      </c>
      <c r="G86" s="14" t="str">
        <f t="array" ref="G86">IFERROR(OFFSET('名稱對照'!E$1,SMALL(IF(名稱_所屬洲別="AP",ROW(名稱_所屬洲別),""),row(85:85))-1,0),"")</f>
        <v/>
      </c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4" t="str">
        <f t="array" ref="B87">IFERROR(OFFSET('名稱對照'!E$1,SMALL(IF(名稱_所屬洲別="NA",ROW(名稱_所屬洲別),""),row(86:86))-1,0),"")</f>
        <v/>
      </c>
      <c r="C87" s="14" t="str">
        <f t="array" ref="C87">IFERROR(OFFSET('名稱對照'!E$1,SMALL(IF(名稱_所屬洲別="SA",ROW(名稱_所屬洲別),""),row(86:86))-1,0),"")</f>
        <v/>
      </c>
      <c r="D87" s="14" t="str">
        <f t="array" ref="D87">IFERROR(OFFSET('名稱對照'!E$1,SMALL(IF(名稱_所屬洲別="AF",ROW(名稱_所屬洲別),""),row(86:86))-1,0),"")</f>
        <v/>
      </c>
      <c r="E87" s="14" t="str">
        <f t="array" ref="E87">IFERROR(OFFSET('名稱對照'!E$1,SMALL(IF(名稱_所屬洲別="EU",ROW(名稱_所屬洲別),""),row(86:86))-1,0),"")</f>
        <v/>
      </c>
      <c r="F87" s="16" t="str">
        <f t="array" ref="F87">IFERROR(OFFSET('名稱對照'!E$1,SMALL(IF(名稱_所屬洲別="WA",ROW(名稱_所屬洲別),""),row(86:86))-1,0),"")</f>
        <v/>
      </c>
      <c r="G87" s="14" t="str">
        <f t="array" ref="G87">IFERROR(OFFSET('名稱對照'!E$1,SMALL(IF(名稱_所屬洲別="AP",ROW(名稱_所屬洲別),""),row(86:86))-1,0),"")</f>
        <v/>
      </c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4" t="str">
        <f t="array" ref="B88">IFERROR(OFFSET('名稱對照'!E$1,SMALL(IF(名稱_所屬洲別="NA",ROW(名稱_所屬洲別),""),row(87:87))-1,0),"")</f>
        <v/>
      </c>
      <c r="C88" s="14" t="str">
        <f t="array" ref="C88">IFERROR(OFFSET('名稱對照'!E$1,SMALL(IF(名稱_所屬洲別="SA",ROW(名稱_所屬洲別),""),row(87:87))-1,0),"")</f>
        <v/>
      </c>
      <c r="D88" s="14" t="str">
        <f t="array" ref="D88">IFERROR(OFFSET('名稱對照'!E$1,SMALL(IF(名稱_所屬洲別="AF",ROW(名稱_所屬洲別),""),row(87:87))-1,0),"")</f>
        <v/>
      </c>
      <c r="E88" s="14" t="str">
        <f t="array" ref="E88">IFERROR(OFFSET('名稱對照'!E$1,SMALL(IF(名稱_所屬洲別="EU",ROW(名稱_所屬洲別),""),row(87:87))-1,0),"")</f>
        <v/>
      </c>
      <c r="F88" s="16" t="str">
        <f t="array" ref="F88">IFERROR(OFFSET('名稱對照'!E$1,SMALL(IF(名稱_所屬洲別="WA",ROW(名稱_所屬洲別),""),row(87:87))-1,0),"")</f>
        <v/>
      </c>
      <c r="G88" s="14" t="str">
        <f t="array" ref="G88">IFERROR(OFFSET('名稱對照'!E$1,SMALL(IF(名稱_所屬洲別="AP",ROW(名稱_所屬洲別),""),row(87:87))-1,0),"")</f>
        <v/>
      </c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4" t="str">
        <f t="array" ref="B89">IFERROR(OFFSET('名稱對照'!E$1,SMALL(IF(名稱_所屬洲別="NA",ROW(名稱_所屬洲別),""),row(88:88))-1,0),"")</f>
        <v/>
      </c>
      <c r="C89" s="14" t="str">
        <f t="array" ref="C89">IFERROR(OFFSET('名稱對照'!E$1,SMALL(IF(名稱_所屬洲別="SA",ROW(名稱_所屬洲別),""),row(88:88))-1,0),"")</f>
        <v/>
      </c>
      <c r="D89" s="14" t="str">
        <f t="array" ref="D89">IFERROR(OFFSET('名稱對照'!E$1,SMALL(IF(名稱_所屬洲別="AF",ROW(名稱_所屬洲別),""),row(88:88))-1,0),"")</f>
        <v/>
      </c>
      <c r="E89" s="14" t="str">
        <f t="array" ref="E89">IFERROR(OFFSET('名稱對照'!E$1,SMALL(IF(名稱_所屬洲別="EU",ROW(名稱_所屬洲別),""),row(88:88))-1,0),"")</f>
        <v/>
      </c>
      <c r="F89" s="16" t="str">
        <f t="array" ref="F89">IFERROR(OFFSET('名稱對照'!E$1,SMALL(IF(名稱_所屬洲別="WA",ROW(名稱_所屬洲別),""),row(88:88))-1,0),"")</f>
        <v/>
      </c>
      <c r="G89" s="14" t="str">
        <f t="array" ref="G89">IFERROR(OFFSET('名稱對照'!E$1,SMALL(IF(名稱_所屬洲別="AP",ROW(名稱_所屬洲別),""),row(88:88))-1,0),"")</f>
        <v/>
      </c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4" t="str">
        <f t="array" ref="B90">IFERROR(OFFSET('名稱對照'!E$1,SMALL(IF(名稱_所屬洲別="NA",ROW(名稱_所屬洲別),""),row(89:89))-1,0),"")</f>
        <v/>
      </c>
      <c r="C90" s="14" t="str">
        <f t="array" ref="C90">IFERROR(OFFSET('名稱對照'!E$1,SMALL(IF(名稱_所屬洲別="SA",ROW(名稱_所屬洲別),""),row(89:89))-1,0),"")</f>
        <v/>
      </c>
      <c r="D90" s="14" t="str">
        <f t="array" ref="D90">IFERROR(OFFSET('名稱對照'!E$1,SMALL(IF(名稱_所屬洲別="AF",ROW(名稱_所屬洲別),""),row(89:89))-1,0),"")</f>
        <v/>
      </c>
      <c r="E90" s="14" t="str">
        <f t="array" ref="E90">IFERROR(OFFSET('名稱對照'!E$1,SMALL(IF(名稱_所屬洲別="EU",ROW(名稱_所屬洲別),""),row(89:89))-1,0),"")</f>
        <v/>
      </c>
      <c r="F90" s="16" t="str">
        <f t="array" ref="F90">IFERROR(OFFSET('名稱對照'!E$1,SMALL(IF(名稱_所屬洲別="WA",ROW(名稱_所屬洲別),""),row(89:89))-1,0),"")</f>
        <v/>
      </c>
      <c r="G90" s="14" t="str">
        <f t="array" ref="G90">IFERROR(OFFSET('名稱對照'!E$1,SMALL(IF(名稱_所屬洲別="AP",ROW(名稱_所屬洲別),""),row(89:89))-1,0),"")</f>
        <v/>
      </c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4" t="str">
        <f t="array" ref="B91">IFERROR(OFFSET('名稱對照'!E$1,SMALL(IF(名稱_所屬洲別="NA",ROW(名稱_所屬洲別),""),row(90:90))-1,0),"")</f>
        <v/>
      </c>
      <c r="C91" s="14" t="str">
        <f t="array" ref="C91">IFERROR(OFFSET('名稱對照'!E$1,SMALL(IF(名稱_所屬洲別="SA",ROW(名稱_所屬洲別),""),row(90:90))-1,0),"")</f>
        <v/>
      </c>
      <c r="D91" s="14" t="str">
        <f t="array" ref="D91">IFERROR(OFFSET('名稱對照'!E$1,SMALL(IF(名稱_所屬洲別="AF",ROW(名稱_所屬洲別),""),row(90:90))-1,0),"")</f>
        <v/>
      </c>
      <c r="E91" s="14" t="str">
        <f t="array" ref="E91">IFERROR(OFFSET('名稱對照'!E$1,SMALL(IF(名稱_所屬洲別="EU",ROW(名稱_所屬洲別),""),row(90:90))-1,0),"")</f>
        <v/>
      </c>
      <c r="F91" s="16" t="str">
        <f t="array" ref="F91">IFERROR(OFFSET('名稱對照'!E$1,SMALL(IF(名稱_所屬洲別="WA",ROW(名稱_所屬洲別),""),row(90:90))-1,0),"")</f>
        <v/>
      </c>
      <c r="G91" s="14" t="str">
        <f t="array" ref="G91">IFERROR(OFFSET('名稱對照'!E$1,SMALL(IF(名稱_所屬洲別="AP",ROW(名稱_所屬洲別),""),row(90:90))-1,0),"")</f>
        <v/>
      </c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4" t="str">
        <f t="array" ref="B92">IFERROR(OFFSET('名稱對照'!E$1,SMALL(IF(名稱_所屬洲別="NA",ROW(名稱_所屬洲別),""),row(91:91))-1,0),"")</f>
        <v/>
      </c>
      <c r="C92" s="14" t="str">
        <f t="array" ref="C92">IFERROR(OFFSET('名稱對照'!E$1,SMALL(IF(名稱_所屬洲別="SA",ROW(名稱_所屬洲別),""),row(91:91))-1,0),"")</f>
        <v/>
      </c>
      <c r="D92" s="14" t="str">
        <f t="array" ref="D92">IFERROR(OFFSET('名稱對照'!E$1,SMALL(IF(名稱_所屬洲別="AF",ROW(名稱_所屬洲別),""),row(91:91))-1,0),"")</f>
        <v/>
      </c>
      <c r="E92" s="14" t="str">
        <f t="array" ref="E92">IFERROR(OFFSET('名稱對照'!E$1,SMALL(IF(名稱_所屬洲別="EU",ROW(名稱_所屬洲別),""),row(91:91))-1,0),"")</f>
        <v/>
      </c>
      <c r="F92" s="16" t="str">
        <f t="array" ref="F92">IFERROR(OFFSET('名稱對照'!E$1,SMALL(IF(名稱_所屬洲別="WA",ROW(名稱_所屬洲別),""),row(91:91))-1,0),"")</f>
        <v/>
      </c>
      <c r="G92" s="14" t="str">
        <f t="array" ref="G92">IFERROR(OFFSET('名稱對照'!E$1,SMALL(IF(名稱_所屬洲別="AP",ROW(名稱_所屬洲別),""),row(91:91))-1,0),"")</f>
        <v/>
      </c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4" t="str">
        <f t="array" ref="B93">IFERROR(OFFSET('名稱對照'!E$1,SMALL(IF(名稱_所屬洲別="NA",ROW(名稱_所屬洲別),""),row(92:92))-1,0),"")</f>
        <v/>
      </c>
      <c r="C93" s="14" t="str">
        <f t="array" ref="C93">IFERROR(OFFSET('名稱對照'!E$1,SMALL(IF(名稱_所屬洲別="SA",ROW(名稱_所屬洲別),""),row(92:92))-1,0),"")</f>
        <v/>
      </c>
      <c r="D93" s="14" t="str">
        <f t="array" ref="D93">IFERROR(OFFSET('名稱對照'!E$1,SMALL(IF(名稱_所屬洲別="AF",ROW(名稱_所屬洲別),""),row(92:92))-1,0),"")</f>
        <v/>
      </c>
      <c r="E93" s="14" t="str">
        <f t="array" ref="E93">IFERROR(OFFSET('名稱對照'!E$1,SMALL(IF(名稱_所屬洲別="EU",ROW(名稱_所屬洲別),""),row(92:92))-1,0),"")</f>
        <v/>
      </c>
      <c r="F93" s="16" t="str">
        <f t="array" ref="F93">IFERROR(OFFSET('名稱對照'!E$1,SMALL(IF(名稱_所屬洲別="WA",ROW(名稱_所屬洲別),""),row(92:92))-1,0),"")</f>
        <v/>
      </c>
      <c r="G93" s="14" t="str">
        <f t="array" ref="G93">IFERROR(OFFSET('名稱對照'!E$1,SMALL(IF(名稱_所屬洲別="AP",ROW(名稱_所屬洲別),""),row(92:92))-1,0),"")</f>
        <v/>
      </c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4" t="str">
        <f t="array" ref="B94">IFERROR(OFFSET('名稱對照'!E$1,SMALL(IF(名稱_所屬洲別="NA",ROW(名稱_所屬洲別),""),row(93:93))-1,0),"")</f>
        <v/>
      </c>
      <c r="C94" s="14" t="str">
        <f t="array" ref="C94">IFERROR(OFFSET('名稱對照'!E$1,SMALL(IF(名稱_所屬洲別="SA",ROW(名稱_所屬洲別),""),row(93:93))-1,0),"")</f>
        <v/>
      </c>
      <c r="D94" s="14" t="str">
        <f t="array" ref="D94">IFERROR(OFFSET('名稱對照'!E$1,SMALL(IF(名稱_所屬洲別="AF",ROW(名稱_所屬洲別),""),row(93:93))-1,0),"")</f>
        <v/>
      </c>
      <c r="E94" s="14" t="str">
        <f t="array" ref="E94">IFERROR(OFFSET('名稱對照'!E$1,SMALL(IF(名稱_所屬洲別="EU",ROW(名稱_所屬洲別),""),row(93:93))-1,0),"")</f>
        <v/>
      </c>
      <c r="F94" s="16" t="str">
        <f t="array" ref="F94">IFERROR(OFFSET('名稱對照'!E$1,SMALL(IF(名稱_所屬洲別="WA",ROW(名稱_所屬洲別),""),row(93:93))-1,0),"")</f>
        <v/>
      </c>
      <c r="G94" s="14" t="str">
        <f t="array" ref="G94">IFERROR(OFFSET('名稱對照'!E$1,SMALL(IF(名稱_所屬洲別="AP",ROW(名稱_所屬洲別),""),row(93:93))-1,0),"")</f>
        <v/>
      </c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4" t="str">
        <f t="array" ref="B95">IFERROR(OFFSET('名稱對照'!E$1,SMALL(IF(名稱_所屬洲別="NA",ROW(名稱_所屬洲別),""),row(94:94))-1,0),"")</f>
        <v/>
      </c>
      <c r="C95" s="14" t="str">
        <f t="array" ref="C95">IFERROR(OFFSET('名稱對照'!E$1,SMALL(IF(名稱_所屬洲別="SA",ROW(名稱_所屬洲別),""),row(94:94))-1,0),"")</f>
        <v/>
      </c>
      <c r="D95" s="14" t="str">
        <f t="array" ref="D95">IFERROR(OFFSET('名稱對照'!E$1,SMALL(IF(名稱_所屬洲別="AF",ROW(名稱_所屬洲別),""),row(94:94))-1,0),"")</f>
        <v/>
      </c>
      <c r="E95" s="14" t="str">
        <f t="array" ref="E95">IFERROR(OFFSET('名稱對照'!E$1,SMALL(IF(名稱_所屬洲別="EU",ROW(名稱_所屬洲別),""),row(94:94))-1,0),"")</f>
        <v/>
      </c>
      <c r="F95" s="16" t="str">
        <f t="array" ref="F95">IFERROR(OFFSET('名稱對照'!E$1,SMALL(IF(名稱_所屬洲別="WA",ROW(名稱_所屬洲別),""),row(94:94))-1,0),"")</f>
        <v/>
      </c>
      <c r="G95" s="14" t="str">
        <f t="array" ref="G95">IFERROR(OFFSET('名稱對照'!E$1,SMALL(IF(名稱_所屬洲別="AP",ROW(名稱_所屬洲別),""),row(94:94))-1,0),"")</f>
        <v/>
      </c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4" t="str">
        <f t="array" ref="B96">IFERROR(OFFSET('名稱對照'!E$1,SMALL(IF(名稱_所屬洲別="NA",ROW(名稱_所屬洲別),""),row(95:95))-1,0),"")</f>
        <v/>
      </c>
      <c r="C96" s="14" t="str">
        <f t="array" ref="C96">IFERROR(OFFSET('名稱對照'!E$1,SMALL(IF(名稱_所屬洲別="SA",ROW(名稱_所屬洲別),""),row(95:95))-1,0),"")</f>
        <v/>
      </c>
      <c r="D96" s="14" t="str">
        <f t="array" ref="D96">IFERROR(OFFSET('名稱對照'!E$1,SMALL(IF(名稱_所屬洲別="AF",ROW(名稱_所屬洲別),""),row(95:95))-1,0),"")</f>
        <v/>
      </c>
      <c r="E96" s="14" t="str">
        <f t="array" ref="E96">IFERROR(OFFSET('名稱對照'!E$1,SMALL(IF(名稱_所屬洲別="EU",ROW(名稱_所屬洲別),""),row(95:95))-1,0),"")</f>
        <v/>
      </c>
      <c r="F96" s="16" t="str">
        <f t="array" ref="F96">IFERROR(OFFSET('名稱對照'!E$1,SMALL(IF(名稱_所屬洲別="WA",ROW(名稱_所屬洲別),""),row(95:95))-1,0),"")</f>
        <v/>
      </c>
      <c r="G96" s="14" t="str">
        <f t="array" ref="G96">IFERROR(OFFSET('名稱對照'!E$1,SMALL(IF(名稱_所屬洲別="AP",ROW(名稱_所屬洲別),""),row(95:95))-1,0),"")</f>
        <v/>
      </c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4" t="str">
        <f t="array" ref="B97">IFERROR(OFFSET('名稱對照'!E$1,SMALL(IF(名稱_所屬洲別="NA",ROW(名稱_所屬洲別),""),row(96:96))-1,0),"")</f>
        <v/>
      </c>
      <c r="C97" s="14" t="str">
        <f t="array" ref="C97">IFERROR(OFFSET('名稱對照'!E$1,SMALL(IF(名稱_所屬洲別="SA",ROW(名稱_所屬洲別),""),row(96:96))-1,0),"")</f>
        <v/>
      </c>
      <c r="D97" s="14" t="str">
        <f t="array" ref="D97">IFERROR(OFFSET('名稱對照'!E$1,SMALL(IF(名稱_所屬洲別="AF",ROW(名稱_所屬洲別),""),row(96:96))-1,0),"")</f>
        <v/>
      </c>
      <c r="E97" s="14" t="str">
        <f t="array" ref="E97">IFERROR(OFFSET('名稱對照'!E$1,SMALL(IF(名稱_所屬洲別="EU",ROW(名稱_所屬洲別),""),row(96:96))-1,0),"")</f>
        <v/>
      </c>
      <c r="F97" s="16" t="str">
        <f t="array" ref="F97">IFERROR(OFFSET('名稱對照'!E$1,SMALL(IF(名稱_所屬洲別="WA",ROW(名稱_所屬洲別),""),row(96:96))-1,0),"")</f>
        <v/>
      </c>
      <c r="G97" s="14" t="str">
        <f t="array" ref="G97">IFERROR(OFFSET('名稱對照'!E$1,SMALL(IF(名稱_所屬洲別="AP",ROW(名稱_所屬洲別),""),row(96:96))-1,0),"")</f>
        <v/>
      </c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4" t="str">
        <f t="array" ref="B98">IFERROR(OFFSET('名稱對照'!E$1,SMALL(IF(名稱_所屬洲別="NA",ROW(名稱_所屬洲別),""),row(97:97))-1,0),"")</f>
        <v/>
      </c>
      <c r="C98" s="14" t="str">
        <f t="array" ref="C98">IFERROR(OFFSET('名稱對照'!E$1,SMALL(IF(名稱_所屬洲別="SA",ROW(名稱_所屬洲別),""),row(97:97))-1,0),"")</f>
        <v/>
      </c>
      <c r="D98" s="14" t="str">
        <f t="array" ref="D98">IFERROR(OFFSET('名稱對照'!E$1,SMALL(IF(名稱_所屬洲別="AF",ROW(名稱_所屬洲別),""),row(97:97))-1,0),"")</f>
        <v/>
      </c>
      <c r="E98" s="14" t="str">
        <f t="array" ref="E98">IFERROR(OFFSET('名稱對照'!E$1,SMALL(IF(名稱_所屬洲別="EU",ROW(名稱_所屬洲別),""),row(97:97))-1,0),"")</f>
        <v/>
      </c>
      <c r="F98" s="16" t="str">
        <f t="array" ref="F98">IFERROR(OFFSET('名稱對照'!E$1,SMALL(IF(名稱_所屬洲別="WA",ROW(名稱_所屬洲別),""),row(97:97))-1,0),"")</f>
        <v/>
      </c>
      <c r="G98" s="14" t="str">
        <f t="array" ref="G98">IFERROR(OFFSET('名稱對照'!E$1,SMALL(IF(名稱_所屬洲別="AP",ROW(名稱_所屬洲別),""),row(97:97))-1,0),"")</f>
        <v/>
      </c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4" t="str">
        <f t="array" ref="B99">IFERROR(OFFSET('名稱對照'!E$1,SMALL(IF(名稱_所屬洲別="NA",ROW(名稱_所屬洲別),""),row(98:98))-1,0),"")</f>
        <v/>
      </c>
      <c r="C99" s="14" t="str">
        <f t="array" ref="C99">IFERROR(OFFSET('名稱對照'!E$1,SMALL(IF(名稱_所屬洲別="SA",ROW(名稱_所屬洲別),""),row(98:98))-1,0),"")</f>
        <v/>
      </c>
      <c r="D99" s="14" t="str">
        <f t="array" ref="D99">IFERROR(OFFSET('名稱對照'!E$1,SMALL(IF(名稱_所屬洲別="AF",ROW(名稱_所屬洲別),""),row(98:98))-1,0),"")</f>
        <v/>
      </c>
      <c r="E99" s="14" t="str">
        <f t="array" ref="E99">IFERROR(OFFSET('名稱對照'!E$1,SMALL(IF(名稱_所屬洲別="EU",ROW(名稱_所屬洲別),""),row(98:98))-1,0),"")</f>
        <v/>
      </c>
      <c r="F99" s="16" t="str">
        <f t="array" ref="F99">IFERROR(OFFSET('名稱對照'!E$1,SMALL(IF(名稱_所屬洲別="WA",ROW(名稱_所屬洲別),""),row(98:98))-1,0),"")</f>
        <v/>
      </c>
      <c r="G99" s="14" t="str">
        <f t="array" ref="G99">IFERROR(OFFSET('名稱對照'!E$1,SMALL(IF(名稱_所屬洲別="AP",ROW(名稱_所屬洲別),""),row(98:98))-1,0),"")</f>
        <v/>
      </c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4" t="str">
        <f t="array" ref="B100">IFERROR(OFFSET('名稱對照'!E$1,SMALL(IF(名稱_所屬洲別="NA",ROW(名稱_所屬洲別),""),row(99:99))-1,0),"")</f>
        <v/>
      </c>
      <c r="C100" s="14" t="str">
        <f t="array" ref="C100">IFERROR(OFFSET('名稱對照'!E$1,SMALL(IF(名稱_所屬洲別="SA",ROW(名稱_所屬洲別),""),row(99:99))-1,0),"")</f>
        <v/>
      </c>
      <c r="D100" s="14" t="str">
        <f t="array" ref="D100">IFERROR(OFFSET('名稱對照'!E$1,SMALL(IF(名稱_所屬洲別="AF",ROW(名稱_所屬洲別),""),row(99:99))-1,0),"")</f>
        <v/>
      </c>
      <c r="E100" s="14" t="str">
        <f t="array" ref="E100">IFERROR(OFFSET('名稱對照'!E$1,SMALL(IF(名稱_所屬洲別="EU",ROW(名稱_所屬洲別),""),row(99:99))-1,0),"")</f>
        <v/>
      </c>
      <c r="F100" s="16" t="str">
        <f t="array" ref="F100">IFERROR(OFFSET('名稱對照'!E$1,SMALL(IF(名稱_所屬洲別="WA",ROW(名稱_所屬洲別),""),row(99:99))-1,0),"")</f>
        <v/>
      </c>
      <c r="G100" s="14" t="str">
        <f t="array" ref="G100">IFERROR(OFFSET('名稱對照'!E$1,SMALL(IF(名稱_所屬洲別="AP",ROW(名稱_所屬洲別),""),row(99:99))-1,0),"")</f>
        <v/>
      </c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4" t="str">
        <f t="array" ref="B101">IFERROR(OFFSET('名稱對照'!E$1,SMALL(IF(名稱_所屬洲別="NA",ROW(名稱_所屬洲別),""),row(100:100))-1,0),"")</f>
        <v/>
      </c>
      <c r="C101" s="14" t="str">
        <f t="array" ref="C101">IFERROR(OFFSET('名稱對照'!E$1,SMALL(IF(名稱_所屬洲別="SA",ROW(名稱_所屬洲別),""),row(100:100))-1,0),"")</f>
        <v/>
      </c>
      <c r="D101" s="14" t="str">
        <f t="array" ref="D101">IFERROR(OFFSET('名稱對照'!E$1,SMALL(IF(名稱_所屬洲別="AF",ROW(名稱_所屬洲別),""),row(100:100))-1,0),"")</f>
        <v/>
      </c>
      <c r="E101" s="14" t="str">
        <f t="array" ref="E101">IFERROR(OFFSET('名稱對照'!E$1,SMALL(IF(名稱_所屬洲別="EU",ROW(名稱_所屬洲別),""),row(100:100))-1,0),"")</f>
        <v/>
      </c>
      <c r="F101" s="16" t="str">
        <f t="array" ref="F101">IFERROR(OFFSET('名稱對照'!E$1,SMALL(IF(名稱_所屬洲別="WA",ROW(名稱_所屬洲別),""),row(100:100))-1,0),"")</f>
        <v/>
      </c>
      <c r="G101" s="14" t="str">
        <f t="array" ref="G101">IFERROR(OFFSET('名稱對照'!E$1,SMALL(IF(名稱_所屬洲別="AP",ROW(名稱_所屬洲別),""),row(100:100))-1,0),"")</f>
        <v/>
      </c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4" t="str">
        <f t="array" ref="B102">IFERROR(OFFSET('名稱對照'!E$1,SMALL(IF(名稱_所屬洲別="NA",ROW(名稱_所屬洲別),""),row(101:101))-1,0),"")</f>
        <v/>
      </c>
      <c r="C102" s="14" t="str">
        <f t="array" ref="C102">IFERROR(OFFSET('名稱對照'!E$1,SMALL(IF(名稱_所屬洲別="SA",ROW(名稱_所屬洲別),""),row(101:101))-1,0),"")</f>
        <v/>
      </c>
      <c r="D102" s="14" t="str">
        <f t="array" ref="D102">IFERROR(OFFSET('名稱對照'!E$1,SMALL(IF(名稱_所屬洲別="AF",ROW(名稱_所屬洲別),""),row(101:101))-1,0),"")</f>
        <v/>
      </c>
      <c r="E102" s="14" t="str">
        <f t="array" ref="E102">IFERROR(OFFSET('名稱對照'!E$1,SMALL(IF(名稱_所屬洲別="EU",ROW(名稱_所屬洲別),""),row(101:101))-1,0),"")</f>
        <v/>
      </c>
      <c r="F102" s="16" t="str">
        <f t="array" ref="F102">IFERROR(OFFSET('名稱對照'!E$1,SMALL(IF(名稱_所屬洲別="WA",ROW(名稱_所屬洲別),""),row(101:101))-1,0),"")</f>
        <v/>
      </c>
      <c r="G102" s="14" t="str">
        <f t="array" ref="G102">IFERROR(OFFSET('名稱對照'!E$1,SMALL(IF(名稱_所屬洲別="AP",ROW(名稱_所屬洲別),""),row(101:101))-1,0),"")</f>
        <v/>
      </c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4" t="str">
        <f t="array" ref="B103">IFERROR(OFFSET('名稱對照'!E$1,SMALL(IF(名稱_所屬洲別="NA",ROW(名稱_所屬洲別),""),row(102:102))-1,0),"")</f>
        <v/>
      </c>
      <c r="C103" s="14" t="str">
        <f t="array" ref="C103">IFERROR(OFFSET('名稱對照'!E$1,SMALL(IF(名稱_所屬洲別="SA",ROW(名稱_所屬洲別),""),row(102:102))-1,0),"")</f>
        <v/>
      </c>
      <c r="D103" s="14" t="str">
        <f t="array" ref="D103">IFERROR(OFFSET('名稱對照'!E$1,SMALL(IF(名稱_所屬洲別="AF",ROW(名稱_所屬洲別),""),row(102:102))-1,0),"")</f>
        <v/>
      </c>
      <c r="E103" s="14" t="str">
        <f t="array" ref="E103">IFERROR(OFFSET('名稱對照'!E$1,SMALL(IF(名稱_所屬洲別="EU",ROW(名稱_所屬洲別),""),row(102:102))-1,0),"")</f>
        <v/>
      </c>
      <c r="F103" s="16" t="str">
        <f t="array" ref="F103">IFERROR(OFFSET('名稱對照'!E$1,SMALL(IF(名稱_所屬洲別="WA",ROW(名稱_所屬洲別),""),row(102:102))-1,0),"")</f>
        <v/>
      </c>
      <c r="G103" s="14" t="str">
        <f t="array" ref="G103">IFERROR(OFFSET('名稱對照'!E$1,SMALL(IF(名稱_所屬洲別="AP",ROW(名稱_所屬洲別),""),row(102:102))-1,0),"")</f>
        <v/>
      </c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4" t="str">
        <f t="array" ref="B104">IFERROR(OFFSET('名稱對照'!E$1,SMALL(IF(名稱_所屬洲別="NA",ROW(名稱_所屬洲別),""),row(103:103))-1,0),"")</f>
        <v/>
      </c>
      <c r="C104" s="14" t="str">
        <f t="array" ref="C104">IFERROR(OFFSET('名稱對照'!E$1,SMALL(IF(名稱_所屬洲別="SA",ROW(名稱_所屬洲別),""),row(103:103))-1,0),"")</f>
        <v/>
      </c>
      <c r="D104" s="14" t="str">
        <f t="array" ref="D104">IFERROR(OFFSET('名稱對照'!E$1,SMALL(IF(名稱_所屬洲別="AF",ROW(名稱_所屬洲別),""),row(103:103))-1,0),"")</f>
        <v/>
      </c>
      <c r="E104" s="14" t="str">
        <f t="array" ref="E104">IFERROR(OFFSET('名稱對照'!E$1,SMALL(IF(名稱_所屬洲別="EU",ROW(名稱_所屬洲別),""),row(103:103))-1,0),"")</f>
        <v/>
      </c>
      <c r="F104" s="16" t="str">
        <f t="array" ref="F104">IFERROR(OFFSET('名稱對照'!E$1,SMALL(IF(名稱_所屬洲別="WA",ROW(名稱_所屬洲別),""),row(103:103))-1,0),"")</f>
        <v/>
      </c>
      <c r="G104" s="14" t="str">
        <f t="array" ref="G104">IFERROR(OFFSET('名稱對照'!E$1,SMALL(IF(名稱_所屬洲別="AP",ROW(名稱_所屬洲別),""),row(103:103))-1,0),"")</f>
        <v/>
      </c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4" t="str">
        <f t="array" ref="B105">IFERROR(OFFSET('名稱對照'!E$1,SMALL(IF(名稱_所屬洲別="NA",ROW(名稱_所屬洲別),""),row(104:104))-1,0),"")</f>
        <v/>
      </c>
      <c r="C105" s="14" t="str">
        <f t="array" ref="C105">IFERROR(OFFSET('名稱對照'!E$1,SMALL(IF(名稱_所屬洲別="SA",ROW(名稱_所屬洲別),""),row(104:104))-1,0),"")</f>
        <v/>
      </c>
      <c r="D105" s="14" t="str">
        <f t="array" ref="D105">IFERROR(OFFSET('名稱對照'!E$1,SMALL(IF(名稱_所屬洲別="AF",ROW(名稱_所屬洲別),""),row(104:104))-1,0),"")</f>
        <v/>
      </c>
      <c r="E105" s="14" t="str">
        <f t="array" ref="E105">IFERROR(OFFSET('名稱對照'!E$1,SMALL(IF(名稱_所屬洲別="EU",ROW(名稱_所屬洲別),""),row(104:104))-1,0),"")</f>
        <v/>
      </c>
      <c r="F105" s="16" t="str">
        <f t="array" ref="F105">IFERROR(OFFSET('名稱對照'!E$1,SMALL(IF(名稱_所屬洲別="WA",ROW(名稱_所屬洲別),""),row(104:104))-1,0),"")</f>
        <v/>
      </c>
      <c r="G105" s="14" t="str">
        <f t="array" ref="G105">IFERROR(OFFSET('名稱對照'!E$1,SMALL(IF(名稱_所屬洲別="AP",ROW(名稱_所屬洲別),""),row(104:104))-1,0),"")</f>
        <v/>
      </c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4" t="str">
        <f t="array" ref="B106">IFERROR(OFFSET('名稱對照'!E$1,SMALL(IF(名稱_所屬洲別="NA",ROW(名稱_所屬洲別),""),row(105:105))-1,0),"")</f>
        <v/>
      </c>
      <c r="C106" s="14" t="str">
        <f t="array" ref="C106">IFERROR(OFFSET('名稱對照'!E$1,SMALL(IF(名稱_所屬洲別="SA",ROW(名稱_所屬洲別),""),row(105:105))-1,0),"")</f>
        <v/>
      </c>
      <c r="D106" s="14" t="str">
        <f t="array" ref="D106">IFERROR(OFFSET('名稱對照'!E$1,SMALL(IF(名稱_所屬洲別="AF",ROW(名稱_所屬洲別),""),row(105:105))-1,0),"")</f>
        <v/>
      </c>
      <c r="E106" s="14" t="str">
        <f t="array" ref="E106">IFERROR(OFFSET('名稱對照'!E$1,SMALL(IF(名稱_所屬洲別="EU",ROW(名稱_所屬洲別),""),row(105:105))-1,0),"")</f>
        <v/>
      </c>
      <c r="F106" s="16" t="str">
        <f t="array" ref="F106">IFERROR(OFFSET('名稱對照'!E$1,SMALL(IF(名稱_所屬洲別="WA",ROW(名稱_所屬洲別),""),row(105:105))-1,0),"")</f>
        <v/>
      </c>
      <c r="G106" s="14" t="str">
        <f t="array" ref="G106">IFERROR(OFFSET('名稱對照'!E$1,SMALL(IF(名稱_所屬洲別="AP",ROW(名稱_所屬洲別),""),row(105:105))-1,0),"")</f>
        <v/>
      </c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4" t="str">
        <f t="array" ref="B107">IFERROR(OFFSET('名稱對照'!E$1,SMALL(IF(名稱_所屬洲別="NA",ROW(名稱_所屬洲別),""),row(106:106))-1,0),"")</f>
        <v/>
      </c>
      <c r="C107" s="14" t="str">
        <f t="array" ref="C107">IFERROR(OFFSET('名稱對照'!E$1,SMALL(IF(名稱_所屬洲別="SA",ROW(名稱_所屬洲別),""),row(106:106))-1,0),"")</f>
        <v/>
      </c>
      <c r="D107" s="14" t="str">
        <f t="array" ref="D107">IFERROR(OFFSET('名稱對照'!E$1,SMALL(IF(名稱_所屬洲別="AF",ROW(名稱_所屬洲別),""),row(106:106))-1,0),"")</f>
        <v/>
      </c>
      <c r="E107" s="14" t="str">
        <f t="array" ref="E107">IFERROR(OFFSET('名稱對照'!E$1,SMALL(IF(名稱_所屬洲別="EU",ROW(名稱_所屬洲別),""),row(106:106))-1,0),"")</f>
        <v/>
      </c>
      <c r="F107" s="16" t="str">
        <f t="array" ref="F107">IFERROR(OFFSET('名稱對照'!E$1,SMALL(IF(名稱_所屬洲別="WA",ROW(名稱_所屬洲別),""),row(106:106))-1,0),"")</f>
        <v/>
      </c>
      <c r="G107" s="14" t="str">
        <f t="array" ref="G107">IFERROR(OFFSET('名稱對照'!E$1,SMALL(IF(名稱_所屬洲別="AP",ROW(名稱_所屬洲別),""),row(106:106))-1,0),"")</f>
        <v/>
      </c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4" t="str">
        <f t="array" ref="B108">IFERROR(OFFSET('名稱對照'!E$1,SMALL(IF(名稱_所屬洲別="NA",ROW(名稱_所屬洲別),""),row(107:107))-1,0),"")</f>
        <v/>
      </c>
      <c r="C108" s="14" t="str">
        <f t="array" ref="C108">IFERROR(OFFSET('名稱對照'!E$1,SMALL(IF(名稱_所屬洲別="SA",ROW(名稱_所屬洲別),""),row(107:107))-1,0),"")</f>
        <v/>
      </c>
      <c r="D108" s="14" t="str">
        <f t="array" ref="D108">IFERROR(OFFSET('名稱對照'!E$1,SMALL(IF(名稱_所屬洲別="AF",ROW(名稱_所屬洲別),""),row(107:107))-1,0),"")</f>
        <v/>
      </c>
      <c r="E108" s="14" t="str">
        <f t="array" ref="E108">IFERROR(OFFSET('名稱對照'!E$1,SMALL(IF(名稱_所屬洲別="EU",ROW(名稱_所屬洲別),""),row(107:107))-1,0),"")</f>
        <v/>
      </c>
      <c r="F108" s="16" t="str">
        <f t="array" ref="F108">IFERROR(OFFSET('名稱對照'!E$1,SMALL(IF(名稱_所屬洲別="WA",ROW(名稱_所屬洲別),""),row(107:107))-1,0),"")</f>
        <v/>
      </c>
      <c r="G108" s="14" t="str">
        <f t="array" ref="G108">IFERROR(OFFSET('名稱對照'!E$1,SMALL(IF(名稱_所屬洲別="AP",ROW(名稱_所屬洲別),""),row(107:107))-1,0),"")</f>
        <v/>
      </c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4" t="str">
        <f t="array" ref="B109">IFERROR(OFFSET('名稱對照'!E$1,SMALL(IF(名稱_所屬洲別="NA",ROW(名稱_所屬洲別),""),row(108:108))-1,0),"")</f>
        <v/>
      </c>
      <c r="C109" s="14" t="str">
        <f t="array" ref="C109">IFERROR(OFFSET('名稱對照'!E$1,SMALL(IF(名稱_所屬洲別="SA",ROW(名稱_所屬洲別),""),row(108:108))-1,0),"")</f>
        <v/>
      </c>
      <c r="D109" s="14" t="str">
        <f t="array" ref="D109">IFERROR(OFFSET('名稱對照'!E$1,SMALL(IF(名稱_所屬洲別="AF",ROW(名稱_所屬洲別),""),row(108:108))-1,0),"")</f>
        <v/>
      </c>
      <c r="E109" s="14" t="str">
        <f t="array" ref="E109">IFERROR(OFFSET('名稱對照'!E$1,SMALL(IF(名稱_所屬洲別="EU",ROW(名稱_所屬洲別),""),row(108:108))-1,0),"")</f>
        <v/>
      </c>
      <c r="F109" s="16" t="str">
        <f t="array" ref="F109">IFERROR(OFFSET('名稱對照'!E$1,SMALL(IF(名稱_所屬洲別="WA",ROW(名稱_所屬洲別),""),row(108:108))-1,0),"")</f>
        <v/>
      </c>
      <c r="G109" s="14" t="str">
        <f t="array" ref="G109">IFERROR(OFFSET('名稱對照'!E$1,SMALL(IF(名稱_所屬洲別="AP",ROW(名稱_所屬洲別),""),row(108:108))-1,0),"")</f>
        <v/>
      </c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4" t="str">
        <f t="array" ref="B110">IFERROR(OFFSET('名稱對照'!E$1,SMALL(IF(名稱_所屬洲別="NA",ROW(名稱_所屬洲別),""),row(109:109))-1,0),"")</f>
        <v/>
      </c>
      <c r="C110" s="14" t="str">
        <f t="array" ref="C110">IFERROR(OFFSET('名稱對照'!E$1,SMALL(IF(名稱_所屬洲別="SA",ROW(名稱_所屬洲別),""),row(109:109))-1,0),"")</f>
        <v/>
      </c>
      <c r="D110" s="14" t="str">
        <f t="array" ref="D110">IFERROR(OFFSET('名稱對照'!E$1,SMALL(IF(名稱_所屬洲別="AF",ROW(名稱_所屬洲別),""),row(109:109))-1,0),"")</f>
        <v/>
      </c>
      <c r="E110" s="14" t="str">
        <f t="array" ref="E110">IFERROR(OFFSET('名稱對照'!E$1,SMALL(IF(名稱_所屬洲別="EU",ROW(名稱_所屬洲別),""),row(109:109))-1,0),"")</f>
        <v/>
      </c>
      <c r="F110" s="16" t="str">
        <f t="array" ref="F110">IFERROR(OFFSET('名稱對照'!E$1,SMALL(IF(名稱_所屬洲別="WA",ROW(名稱_所屬洲別),""),row(109:109))-1,0),"")</f>
        <v/>
      </c>
      <c r="G110" s="14" t="str">
        <f t="array" ref="G110">IFERROR(OFFSET('名稱對照'!E$1,SMALL(IF(名稱_所屬洲別="AP",ROW(名稱_所屬洲別),""),row(109:109))-1,0),"")</f>
        <v/>
      </c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4" t="str">
        <f t="array" ref="B111">IFERROR(OFFSET('名稱對照'!E$1,SMALL(IF(名稱_所屬洲別="NA",ROW(名稱_所屬洲別),""),row(110:110))-1,0),"")</f>
        <v/>
      </c>
      <c r="C111" s="14" t="str">
        <f t="array" ref="C111">IFERROR(OFFSET('名稱對照'!E$1,SMALL(IF(名稱_所屬洲別="SA",ROW(名稱_所屬洲別),""),row(110:110))-1,0),"")</f>
        <v/>
      </c>
      <c r="D111" s="14" t="str">
        <f t="array" ref="D111">IFERROR(OFFSET('名稱對照'!E$1,SMALL(IF(名稱_所屬洲別="AF",ROW(名稱_所屬洲別),""),row(110:110))-1,0),"")</f>
        <v/>
      </c>
      <c r="E111" s="14" t="str">
        <f t="array" ref="E111">IFERROR(OFFSET('名稱對照'!E$1,SMALL(IF(名稱_所屬洲別="EU",ROW(名稱_所屬洲別),""),row(110:110))-1,0),"")</f>
        <v/>
      </c>
      <c r="F111" s="16" t="str">
        <f t="array" ref="F111">IFERROR(OFFSET('名稱對照'!E$1,SMALL(IF(名稱_所屬洲別="WA",ROW(名稱_所屬洲別),""),row(110:110))-1,0),"")</f>
        <v/>
      </c>
      <c r="G111" s="14" t="str">
        <f t="array" ref="G111">IFERROR(OFFSET('名稱對照'!E$1,SMALL(IF(名稱_所屬洲別="AP",ROW(名稱_所屬洲別),""),row(110:110))-1,0),"")</f>
        <v/>
      </c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4" t="str">
        <f t="array" ref="B112">IFERROR(OFFSET('名稱對照'!E$1,SMALL(IF(名稱_所屬洲別="NA",ROW(名稱_所屬洲別),""),row(111:111))-1,0),"")</f>
        <v/>
      </c>
      <c r="C112" s="14" t="str">
        <f t="array" ref="C112">IFERROR(OFFSET('名稱對照'!E$1,SMALL(IF(名稱_所屬洲別="SA",ROW(名稱_所屬洲別),""),row(111:111))-1,0),"")</f>
        <v/>
      </c>
      <c r="D112" s="14" t="str">
        <f t="array" ref="D112">IFERROR(OFFSET('名稱對照'!E$1,SMALL(IF(名稱_所屬洲別="AF",ROW(名稱_所屬洲別),""),row(111:111))-1,0),"")</f>
        <v/>
      </c>
      <c r="E112" s="14" t="str">
        <f t="array" ref="E112">IFERROR(OFFSET('名稱對照'!E$1,SMALL(IF(名稱_所屬洲別="EU",ROW(名稱_所屬洲別),""),row(111:111))-1,0),"")</f>
        <v/>
      </c>
      <c r="F112" s="16" t="str">
        <f t="array" ref="F112">IFERROR(OFFSET('名稱對照'!E$1,SMALL(IF(名稱_所屬洲別="WA",ROW(名稱_所屬洲別),""),row(111:111))-1,0),"")</f>
        <v/>
      </c>
      <c r="G112" s="14" t="str">
        <f t="array" ref="G112">IFERROR(OFFSET('名稱對照'!E$1,SMALL(IF(名稱_所屬洲別="AP",ROW(名稱_所屬洲別),""),row(111:111))-1,0),"")</f>
        <v/>
      </c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4" t="str">
        <f t="array" ref="B113">IFERROR(OFFSET('名稱對照'!E$1,SMALL(IF(名稱_所屬洲別="NA",ROW(名稱_所屬洲別),""),row(112:112))-1,0),"")</f>
        <v/>
      </c>
      <c r="C113" s="14" t="str">
        <f t="array" ref="C113">IFERROR(OFFSET('名稱對照'!E$1,SMALL(IF(名稱_所屬洲別="SA",ROW(名稱_所屬洲別),""),row(112:112))-1,0),"")</f>
        <v/>
      </c>
      <c r="D113" s="14" t="str">
        <f t="array" ref="D113">IFERROR(OFFSET('名稱對照'!E$1,SMALL(IF(名稱_所屬洲別="AF",ROW(名稱_所屬洲別),""),row(112:112))-1,0),"")</f>
        <v/>
      </c>
      <c r="E113" s="14" t="str">
        <f t="array" ref="E113">IFERROR(OFFSET('名稱對照'!E$1,SMALL(IF(名稱_所屬洲別="EU",ROW(名稱_所屬洲別),""),row(112:112))-1,0),"")</f>
        <v/>
      </c>
      <c r="F113" s="16" t="str">
        <f t="array" ref="F113">IFERROR(OFFSET('名稱對照'!E$1,SMALL(IF(名稱_所屬洲別="WA",ROW(名稱_所屬洲別),""),row(112:112))-1,0),"")</f>
        <v/>
      </c>
      <c r="G113" s="14" t="str">
        <f t="array" ref="G113">IFERROR(OFFSET('名稱對照'!E$1,SMALL(IF(名稱_所屬洲別="AP",ROW(名稱_所屬洲別),""),row(112:112))-1,0),"")</f>
        <v/>
      </c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4" t="str">
        <f t="array" ref="B114">IFERROR(OFFSET('名稱對照'!E$1,SMALL(IF(名稱_所屬洲別="NA",ROW(名稱_所屬洲別),""),row(113:113))-1,0),"")</f>
        <v/>
      </c>
      <c r="C114" s="14" t="str">
        <f t="array" ref="C114">IFERROR(OFFSET('名稱對照'!E$1,SMALL(IF(名稱_所屬洲別="SA",ROW(名稱_所屬洲別),""),row(113:113))-1,0),"")</f>
        <v/>
      </c>
      <c r="D114" s="14" t="str">
        <f t="array" ref="D114">IFERROR(OFFSET('名稱對照'!E$1,SMALL(IF(名稱_所屬洲別="AF",ROW(名稱_所屬洲別),""),row(113:113))-1,0),"")</f>
        <v/>
      </c>
      <c r="E114" s="14" t="str">
        <f t="array" ref="E114">IFERROR(OFFSET('名稱對照'!E$1,SMALL(IF(名稱_所屬洲別="EU",ROW(名稱_所屬洲別),""),row(113:113))-1,0),"")</f>
        <v/>
      </c>
      <c r="F114" s="16" t="str">
        <f t="array" ref="F114">IFERROR(OFFSET('名稱對照'!E$1,SMALL(IF(名稱_所屬洲別="WA",ROW(名稱_所屬洲別),""),row(113:113))-1,0),"")</f>
        <v/>
      </c>
      <c r="G114" s="14" t="str">
        <f t="array" ref="G114">IFERROR(OFFSET('名稱對照'!E$1,SMALL(IF(名稱_所屬洲別="AP",ROW(名稱_所屬洲別),""),row(113:113))-1,0),"")</f>
        <v/>
      </c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4" t="str">
        <f t="array" ref="B115">IFERROR(OFFSET('名稱對照'!E$1,SMALL(IF(名稱_所屬洲別="NA",ROW(名稱_所屬洲別),""),row(114:114))-1,0),"")</f>
        <v/>
      </c>
      <c r="C115" s="14" t="str">
        <f t="array" ref="C115">IFERROR(OFFSET('名稱對照'!E$1,SMALL(IF(名稱_所屬洲別="SA",ROW(名稱_所屬洲別),""),row(114:114))-1,0),"")</f>
        <v/>
      </c>
      <c r="D115" s="14" t="str">
        <f t="array" ref="D115">IFERROR(OFFSET('名稱對照'!E$1,SMALL(IF(名稱_所屬洲別="AF",ROW(名稱_所屬洲別),""),row(114:114))-1,0),"")</f>
        <v/>
      </c>
      <c r="E115" s="14" t="str">
        <f t="array" ref="E115">IFERROR(OFFSET('名稱對照'!E$1,SMALL(IF(名稱_所屬洲別="EU",ROW(名稱_所屬洲別),""),row(114:114))-1,0),"")</f>
        <v/>
      </c>
      <c r="F115" s="16" t="str">
        <f t="array" ref="F115">IFERROR(OFFSET('名稱對照'!E$1,SMALL(IF(名稱_所屬洲別="WA",ROW(名稱_所屬洲別),""),row(114:114))-1,0),"")</f>
        <v/>
      </c>
      <c r="G115" s="14" t="str">
        <f t="array" ref="G115">IFERROR(OFFSET('名稱對照'!E$1,SMALL(IF(名稱_所屬洲別="AP",ROW(名稱_所屬洲別),""),row(114:114))-1,0),"")</f>
        <v/>
      </c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4" t="str">
        <f t="array" ref="B116">IFERROR(OFFSET('名稱對照'!E$1,SMALL(IF(名稱_所屬洲別="NA",ROW(名稱_所屬洲別),""),row(115:115))-1,0),"")</f>
        <v/>
      </c>
      <c r="C116" s="14" t="str">
        <f t="array" ref="C116">IFERROR(OFFSET('名稱對照'!E$1,SMALL(IF(名稱_所屬洲別="SA",ROW(名稱_所屬洲別),""),row(115:115))-1,0),"")</f>
        <v/>
      </c>
      <c r="D116" s="14" t="str">
        <f t="array" ref="D116">IFERROR(OFFSET('名稱對照'!E$1,SMALL(IF(名稱_所屬洲別="AF",ROW(名稱_所屬洲別),""),row(115:115))-1,0),"")</f>
        <v/>
      </c>
      <c r="E116" s="14" t="str">
        <f t="array" ref="E116">IFERROR(OFFSET('名稱對照'!E$1,SMALL(IF(名稱_所屬洲別="EU",ROW(名稱_所屬洲別),""),row(115:115))-1,0),"")</f>
        <v/>
      </c>
      <c r="F116" s="16" t="str">
        <f t="array" ref="F116">IFERROR(OFFSET('名稱對照'!E$1,SMALL(IF(名稱_所屬洲別="WA",ROW(名稱_所屬洲別),""),row(115:115))-1,0),"")</f>
        <v/>
      </c>
      <c r="G116" s="14" t="str">
        <f t="array" ref="G116">IFERROR(OFFSET('名稱對照'!E$1,SMALL(IF(名稱_所屬洲別="AP",ROW(名稱_所屬洲別),""),row(115:115))-1,0),"")</f>
        <v/>
      </c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4" t="str">
        <f t="array" ref="B117">IFERROR(OFFSET('名稱對照'!E$1,SMALL(IF(名稱_所屬洲別="NA",ROW(名稱_所屬洲別),""),row(116:116))-1,0),"")</f>
        <v/>
      </c>
      <c r="C117" s="14" t="str">
        <f t="array" ref="C117">IFERROR(OFFSET('名稱對照'!E$1,SMALL(IF(名稱_所屬洲別="SA",ROW(名稱_所屬洲別),""),row(116:116))-1,0),"")</f>
        <v/>
      </c>
      <c r="D117" s="14" t="str">
        <f t="array" ref="D117">IFERROR(OFFSET('名稱對照'!E$1,SMALL(IF(名稱_所屬洲別="AF",ROW(名稱_所屬洲別),""),row(116:116))-1,0),"")</f>
        <v/>
      </c>
      <c r="E117" s="14" t="str">
        <f t="array" ref="E117">IFERROR(OFFSET('名稱對照'!E$1,SMALL(IF(名稱_所屬洲別="EU",ROW(名稱_所屬洲別),""),row(116:116))-1,0),"")</f>
        <v/>
      </c>
      <c r="F117" s="16" t="str">
        <f t="array" ref="F117">IFERROR(OFFSET('名稱對照'!E$1,SMALL(IF(名稱_所屬洲別="WA",ROW(名稱_所屬洲別),""),row(116:116))-1,0),"")</f>
        <v/>
      </c>
      <c r="G117" s="14" t="str">
        <f t="array" ref="G117">IFERROR(OFFSET('名稱對照'!E$1,SMALL(IF(名稱_所屬洲別="AP",ROW(名稱_所屬洲別),""),row(116:116))-1,0),"")</f>
        <v/>
      </c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4" t="str">
        <f t="array" ref="B118">IFERROR(OFFSET('名稱對照'!E$1,SMALL(IF(名稱_所屬洲別="NA",ROW(名稱_所屬洲別),""),row(117:117))-1,0),"")</f>
        <v/>
      </c>
      <c r="C118" s="14" t="str">
        <f t="array" ref="C118">IFERROR(OFFSET('名稱對照'!E$1,SMALL(IF(名稱_所屬洲別="SA",ROW(名稱_所屬洲別),""),row(117:117))-1,0),"")</f>
        <v/>
      </c>
      <c r="D118" s="14" t="str">
        <f t="array" ref="D118">IFERROR(OFFSET('名稱對照'!E$1,SMALL(IF(名稱_所屬洲別="AF",ROW(名稱_所屬洲別),""),row(117:117))-1,0),"")</f>
        <v/>
      </c>
      <c r="E118" s="14" t="str">
        <f t="array" ref="E118">IFERROR(OFFSET('名稱對照'!E$1,SMALL(IF(名稱_所屬洲別="EU",ROW(名稱_所屬洲別),""),row(117:117))-1,0),"")</f>
        <v/>
      </c>
      <c r="F118" s="16" t="str">
        <f t="array" ref="F118">IFERROR(OFFSET('名稱對照'!E$1,SMALL(IF(名稱_所屬洲別="WA",ROW(名稱_所屬洲別),""),row(117:117))-1,0),"")</f>
        <v/>
      </c>
      <c r="G118" s="14" t="str">
        <f t="array" ref="G118">IFERROR(OFFSET('名稱對照'!E$1,SMALL(IF(名稱_所屬洲別="AP",ROW(名稱_所屬洲別),""),row(117:117))-1,0),"")</f>
        <v/>
      </c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4" t="str">
        <f t="array" ref="B119">IFERROR(OFFSET('名稱對照'!E$1,SMALL(IF(名稱_所屬洲別="NA",ROW(名稱_所屬洲別),""),row(118:118))-1,0),"")</f>
        <v/>
      </c>
      <c r="C119" s="14" t="str">
        <f t="array" ref="C119">IFERROR(OFFSET('名稱對照'!E$1,SMALL(IF(名稱_所屬洲別="SA",ROW(名稱_所屬洲別),""),row(118:118))-1,0),"")</f>
        <v/>
      </c>
      <c r="D119" s="14" t="str">
        <f t="array" ref="D119">IFERROR(OFFSET('名稱對照'!E$1,SMALL(IF(名稱_所屬洲別="AF",ROW(名稱_所屬洲別),""),row(118:118))-1,0),"")</f>
        <v/>
      </c>
      <c r="E119" s="14" t="str">
        <f t="array" ref="E119">IFERROR(OFFSET('名稱對照'!E$1,SMALL(IF(名稱_所屬洲別="EU",ROW(名稱_所屬洲別),""),row(118:118))-1,0),"")</f>
        <v/>
      </c>
      <c r="F119" s="16" t="str">
        <f t="array" ref="F119">IFERROR(OFFSET('名稱對照'!E$1,SMALL(IF(名稱_所屬洲別="WA",ROW(名稱_所屬洲別),""),row(118:118))-1,0),"")</f>
        <v/>
      </c>
      <c r="G119" s="14" t="str">
        <f t="array" ref="G119">IFERROR(OFFSET('名稱對照'!E$1,SMALL(IF(名稱_所屬洲別="AP",ROW(名稱_所屬洲別),""),row(118:118))-1,0),"")</f>
        <v/>
      </c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4" t="str">
        <f t="array" ref="B120">IFERROR(OFFSET('名稱對照'!E$1,SMALL(IF(名稱_所屬洲別="NA",ROW(名稱_所屬洲別),""),row(119:119))-1,0),"")</f>
        <v/>
      </c>
      <c r="C120" s="14" t="str">
        <f t="array" ref="C120">IFERROR(OFFSET('名稱對照'!E$1,SMALL(IF(名稱_所屬洲別="SA",ROW(名稱_所屬洲別),""),row(119:119))-1,0),"")</f>
        <v/>
      </c>
      <c r="D120" s="14" t="str">
        <f t="array" ref="D120">IFERROR(OFFSET('名稱對照'!E$1,SMALL(IF(名稱_所屬洲別="AF",ROW(名稱_所屬洲別),""),row(119:119))-1,0),"")</f>
        <v/>
      </c>
      <c r="E120" s="14" t="str">
        <f t="array" ref="E120">IFERROR(OFFSET('名稱對照'!E$1,SMALL(IF(名稱_所屬洲別="EU",ROW(名稱_所屬洲別),""),row(119:119))-1,0),"")</f>
        <v/>
      </c>
      <c r="F120" s="16" t="str">
        <f t="array" ref="F120">IFERROR(OFFSET('名稱對照'!E$1,SMALL(IF(名稱_所屬洲別="WA",ROW(名稱_所屬洲別),""),row(119:119))-1,0),"")</f>
        <v/>
      </c>
      <c r="G120" s="14" t="str">
        <f t="array" ref="G120">IFERROR(OFFSET('名稱對照'!E$1,SMALL(IF(名稱_所屬洲別="AP",ROW(名稱_所屬洲別),""),row(119:119))-1,0),"")</f>
        <v/>
      </c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4" t="str">
        <f t="array" ref="B121">IFERROR(OFFSET('名稱對照'!E$1,SMALL(IF(名稱_所屬洲別="NA",ROW(名稱_所屬洲別),""),row(120:120))-1,0),"")</f>
        <v/>
      </c>
      <c r="C121" s="14" t="str">
        <f t="array" ref="C121">IFERROR(OFFSET('名稱對照'!E$1,SMALL(IF(名稱_所屬洲別="SA",ROW(名稱_所屬洲別),""),row(120:120))-1,0),"")</f>
        <v/>
      </c>
      <c r="D121" s="14" t="str">
        <f t="array" ref="D121">IFERROR(OFFSET('名稱對照'!E$1,SMALL(IF(名稱_所屬洲別="AF",ROW(名稱_所屬洲別),""),row(120:120))-1,0),"")</f>
        <v/>
      </c>
      <c r="E121" s="14" t="str">
        <f t="array" ref="E121">IFERROR(OFFSET('名稱對照'!E$1,SMALL(IF(名稱_所屬洲別="EU",ROW(名稱_所屬洲別),""),row(120:120))-1,0),"")</f>
        <v/>
      </c>
      <c r="F121" s="16" t="str">
        <f t="array" ref="F121">IFERROR(OFFSET('名稱對照'!E$1,SMALL(IF(名稱_所屬洲別="WA",ROW(名稱_所屬洲別),""),row(120:120))-1,0),"")</f>
        <v/>
      </c>
      <c r="G121" s="14" t="str">
        <f t="array" ref="G121">IFERROR(OFFSET('名稱對照'!E$1,SMALL(IF(名稱_所屬洲別="AP",ROW(名稱_所屬洲別),""),row(120:120))-1,0),"")</f>
        <v/>
      </c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4" t="str">
        <f t="array" ref="B122">IFERROR(OFFSET('名稱對照'!E$1,SMALL(IF(名稱_所屬洲別="NA",ROW(名稱_所屬洲別),""),row(121:121))-1,0),"")</f>
        <v/>
      </c>
      <c r="C122" s="14" t="str">
        <f t="array" ref="C122">IFERROR(OFFSET('名稱對照'!E$1,SMALL(IF(名稱_所屬洲別="SA",ROW(名稱_所屬洲別),""),row(121:121))-1,0),"")</f>
        <v/>
      </c>
      <c r="D122" s="14" t="str">
        <f t="array" ref="D122">IFERROR(OFFSET('名稱對照'!E$1,SMALL(IF(名稱_所屬洲別="AF",ROW(名稱_所屬洲別),""),row(121:121))-1,0),"")</f>
        <v/>
      </c>
      <c r="E122" s="14" t="str">
        <f t="array" ref="E122">IFERROR(OFFSET('名稱對照'!E$1,SMALL(IF(名稱_所屬洲別="EU",ROW(名稱_所屬洲別),""),row(121:121))-1,0),"")</f>
        <v/>
      </c>
      <c r="F122" s="16" t="str">
        <f t="array" ref="F122">IFERROR(OFFSET('名稱對照'!E$1,SMALL(IF(名稱_所屬洲別="WA",ROW(名稱_所屬洲別),""),row(121:121))-1,0),"")</f>
        <v/>
      </c>
      <c r="G122" s="14" t="str">
        <f t="array" ref="G122">IFERROR(OFFSET('名稱對照'!E$1,SMALL(IF(名稱_所屬洲別="AP",ROW(名稱_所屬洲別),""),row(121:121))-1,0),"")</f>
        <v/>
      </c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4" t="str">
        <f t="array" ref="B123">IFERROR(OFFSET('名稱對照'!E$1,SMALL(IF(名稱_所屬洲別="NA",ROW(名稱_所屬洲別),""),row(122:122))-1,0),"")</f>
        <v/>
      </c>
      <c r="C123" s="14" t="str">
        <f t="array" ref="C123">IFERROR(OFFSET('名稱對照'!E$1,SMALL(IF(名稱_所屬洲別="SA",ROW(名稱_所屬洲別),""),row(122:122))-1,0),"")</f>
        <v/>
      </c>
      <c r="D123" s="14" t="str">
        <f t="array" ref="D123">IFERROR(OFFSET('名稱對照'!E$1,SMALL(IF(名稱_所屬洲別="AF",ROW(名稱_所屬洲別),""),row(122:122))-1,0),"")</f>
        <v/>
      </c>
      <c r="E123" s="14" t="str">
        <f t="array" ref="E123">IFERROR(OFFSET('名稱對照'!E$1,SMALL(IF(名稱_所屬洲別="EU",ROW(名稱_所屬洲別),""),row(122:122))-1,0),"")</f>
        <v/>
      </c>
      <c r="F123" s="16" t="str">
        <f t="array" ref="F123">IFERROR(OFFSET('名稱對照'!E$1,SMALL(IF(名稱_所屬洲別="WA",ROW(名稱_所屬洲別),""),row(122:122))-1,0),"")</f>
        <v/>
      </c>
      <c r="G123" s="14" t="str">
        <f t="array" ref="G123">IFERROR(OFFSET('名稱對照'!E$1,SMALL(IF(名稱_所屬洲別="AP",ROW(名稱_所屬洲別),""),row(122:122))-1,0),"")</f>
        <v/>
      </c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4" t="str">
        <f t="array" ref="B124">IFERROR(OFFSET('名稱對照'!E$1,SMALL(IF(名稱_所屬洲別="NA",ROW(名稱_所屬洲別),""),row(123:123))-1,0),"")</f>
        <v/>
      </c>
      <c r="C124" s="14" t="str">
        <f t="array" ref="C124">IFERROR(OFFSET('名稱對照'!E$1,SMALL(IF(名稱_所屬洲別="SA",ROW(名稱_所屬洲別),""),row(123:123))-1,0),"")</f>
        <v/>
      </c>
      <c r="D124" s="14" t="str">
        <f t="array" ref="D124">IFERROR(OFFSET('名稱對照'!E$1,SMALL(IF(名稱_所屬洲別="AF",ROW(名稱_所屬洲別),""),row(123:123))-1,0),"")</f>
        <v/>
      </c>
      <c r="E124" s="14" t="str">
        <f t="array" ref="E124">IFERROR(OFFSET('名稱對照'!E$1,SMALL(IF(名稱_所屬洲別="EU",ROW(名稱_所屬洲別),""),row(123:123))-1,0),"")</f>
        <v/>
      </c>
      <c r="F124" s="16" t="str">
        <f t="array" ref="F124">IFERROR(OFFSET('名稱對照'!E$1,SMALL(IF(名稱_所屬洲別="WA",ROW(名稱_所屬洲別),""),row(123:123))-1,0),"")</f>
        <v/>
      </c>
      <c r="G124" s="14" t="str">
        <f t="array" ref="G124">IFERROR(OFFSET('名稱對照'!E$1,SMALL(IF(名稱_所屬洲別="AP",ROW(名稱_所屬洲別),""),row(123:123))-1,0),"")</f>
        <v/>
      </c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4" t="str">
        <f t="array" ref="B125">IFERROR(OFFSET('名稱對照'!E$1,SMALL(IF(名稱_所屬洲別="NA",ROW(名稱_所屬洲別),""),row(124:124))-1,0),"")</f>
        <v/>
      </c>
      <c r="C125" s="14" t="str">
        <f t="array" ref="C125">IFERROR(OFFSET('名稱對照'!E$1,SMALL(IF(名稱_所屬洲別="SA",ROW(名稱_所屬洲別),""),row(124:124))-1,0),"")</f>
        <v/>
      </c>
      <c r="D125" s="14" t="str">
        <f t="array" ref="D125">IFERROR(OFFSET('名稱對照'!E$1,SMALL(IF(名稱_所屬洲別="AF",ROW(名稱_所屬洲別),""),row(124:124))-1,0),"")</f>
        <v/>
      </c>
      <c r="E125" s="14" t="str">
        <f t="array" ref="E125">IFERROR(OFFSET('名稱對照'!E$1,SMALL(IF(名稱_所屬洲別="EU",ROW(名稱_所屬洲別),""),row(124:124))-1,0),"")</f>
        <v/>
      </c>
      <c r="F125" s="16" t="str">
        <f t="array" ref="F125">IFERROR(OFFSET('名稱對照'!E$1,SMALL(IF(名稱_所屬洲別="WA",ROW(名稱_所屬洲別),""),row(124:124))-1,0),"")</f>
        <v/>
      </c>
      <c r="G125" s="14" t="str">
        <f t="array" ref="G125">IFERROR(OFFSET('名稱對照'!E$1,SMALL(IF(名稱_所屬洲別="AP",ROW(名稱_所屬洲別),""),row(124:124))-1,0),"")</f>
        <v/>
      </c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4" t="str">
        <f t="array" ref="B126">IFERROR(OFFSET('名稱對照'!E$1,SMALL(IF(名稱_所屬洲別="NA",ROW(名稱_所屬洲別),""),row(125:125))-1,0),"")</f>
        <v/>
      </c>
      <c r="C126" s="14" t="str">
        <f t="array" ref="C126">IFERROR(OFFSET('名稱對照'!E$1,SMALL(IF(名稱_所屬洲別="SA",ROW(名稱_所屬洲別),""),row(125:125))-1,0),"")</f>
        <v/>
      </c>
      <c r="D126" s="14" t="str">
        <f t="array" ref="D126">IFERROR(OFFSET('名稱對照'!E$1,SMALL(IF(名稱_所屬洲別="AF",ROW(名稱_所屬洲別),""),row(125:125))-1,0),"")</f>
        <v/>
      </c>
      <c r="E126" s="14" t="str">
        <f t="array" ref="E126">IFERROR(OFFSET('名稱對照'!E$1,SMALL(IF(名稱_所屬洲別="EU",ROW(名稱_所屬洲別),""),row(125:125))-1,0),"")</f>
        <v/>
      </c>
      <c r="F126" s="16" t="str">
        <f t="array" ref="F126">IFERROR(OFFSET('名稱對照'!E$1,SMALL(IF(名稱_所屬洲別="WA",ROW(名稱_所屬洲別),""),row(125:125))-1,0),"")</f>
        <v/>
      </c>
      <c r="G126" s="14" t="str">
        <f t="array" ref="G126">IFERROR(OFFSET('名稱對照'!E$1,SMALL(IF(名稱_所屬洲別="AP",ROW(名稱_所屬洲別),""),row(125:125))-1,0),"")</f>
        <v/>
      </c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4" t="str">
        <f t="array" ref="B127">IFERROR(OFFSET('名稱對照'!E$1,SMALL(IF(名稱_所屬洲別="NA",ROW(名稱_所屬洲別),""),row(126:126))-1,0),"")</f>
        <v/>
      </c>
      <c r="C127" s="14" t="str">
        <f t="array" ref="C127">IFERROR(OFFSET('名稱對照'!E$1,SMALL(IF(名稱_所屬洲別="SA",ROW(名稱_所屬洲別),""),row(126:126))-1,0),"")</f>
        <v/>
      </c>
      <c r="D127" s="14" t="str">
        <f t="array" ref="D127">IFERROR(OFFSET('名稱對照'!E$1,SMALL(IF(名稱_所屬洲別="AF",ROW(名稱_所屬洲別),""),row(126:126))-1,0),"")</f>
        <v/>
      </c>
      <c r="E127" s="14" t="str">
        <f t="array" ref="E127">IFERROR(OFFSET('名稱對照'!E$1,SMALL(IF(名稱_所屬洲別="EU",ROW(名稱_所屬洲別),""),row(126:126))-1,0),"")</f>
        <v/>
      </c>
      <c r="F127" s="16" t="str">
        <f t="array" ref="F127">IFERROR(OFFSET('名稱對照'!E$1,SMALL(IF(名稱_所屬洲別="WA",ROW(名稱_所屬洲別),""),row(126:126))-1,0),"")</f>
        <v/>
      </c>
      <c r="G127" s="14" t="str">
        <f t="array" ref="G127">IFERROR(OFFSET('名稱對照'!E$1,SMALL(IF(名稱_所屬洲別="AP",ROW(名稱_所屬洲別),""),row(126:126))-1,0),"")</f>
        <v/>
      </c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4" t="str">
        <f t="array" ref="B128">IFERROR(OFFSET('名稱對照'!E$1,SMALL(IF(名稱_所屬洲別="NA",ROW(名稱_所屬洲別),""),row(127:127))-1,0),"")</f>
        <v/>
      </c>
      <c r="C128" s="14" t="str">
        <f t="array" ref="C128">IFERROR(OFFSET('名稱對照'!E$1,SMALL(IF(名稱_所屬洲別="SA",ROW(名稱_所屬洲別),""),row(127:127))-1,0),"")</f>
        <v/>
      </c>
      <c r="D128" s="14" t="str">
        <f t="array" ref="D128">IFERROR(OFFSET('名稱對照'!E$1,SMALL(IF(名稱_所屬洲別="AF",ROW(名稱_所屬洲別),""),row(127:127))-1,0),"")</f>
        <v/>
      </c>
      <c r="E128" s="14" t="str">
        <f t="array" ref="E128">IFERROR(OFFSET('名稱對照'!E$1,SMALL(IF(名稱_所屬洲別="EU",ROW(名稱_所屬洲別),""),row(127:127))-1,0),"")</f>
        <v/>
      </c>
      <c r="F128" s="16" t="str">
        <f t="array" ref="F128">IFERROR(OFFSET('名稱對照'!E$1,SMALL(IF(名稱_所屬洲別="WA",ROW(名稱_所屬洲別),""),row(127:127))-1,0),"")</f>
        <v/>
      </c>
      <c r="G128" s="14" t="str">
        <f t="array" ref="G128">IFERROR(OFFSET('名稱對照'!E$1,SMALL(IF(名稱_所屬洲別="AP",ROW(名稱_所屬洲別),""),row(127:127))-1,0),"")</f>
        <v/>
      </c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4" t="str">
        <f t="array" ref="B129">IFERROR(OFFSET('名稱對照'!E$1,SMALL(IF(名稱_所屬洲別="NA",ROW(名稱_所屬洲別),""),row(128:128))-1,0),"")</f>
        <v/>
      </c>
      <c r="C129" s="14" t="str">
        <f t="array" ref="C129">IFERROR(OFFSET('名稱對照'!E$1,SMALL(IF(名稱_所屬洲別="SA",ROW(名稱_所屬洲別),""),row(128:128))-1,0),"")</f>
        <v/>
      </c>
      <c r="D129" s="14" t="str">
        <f t="array" ref="D129">IFERROR(OFFSET('名稱對照'!E$1,SMALL(IF(名稱_所屬洲別="AF",ROW(名稱_所屬洲別),""),row(128:128))-1,0),"")</f>
        <v/>
      </c>
      <c r="E129" s="14" t="str">
        <f t="array" ref="E129">IFERROR(OFFSET('名稱對照'!E$1,SMALL(IF(名稱_所屬洲別="EU",ROW(名稱_所屬洲別),""),row(128:128))-1,0),"")</f>
        <v/>
      </c>
      <c r="F129" s="16" t="str">
        <f t="array" ref="F129">IFERROR(OFFSET('名稱對照'!E$1,SMALL(IF(名稱_所屬洲別="WA",ROW(名稱_所屬洲別),""),row(128:128))-1,0),"")</f>
        <v/>
      </c>
      <c r="G129" s="14" t="str">
        <f t="array" ref="G129">IFERROR(OFFSET('名稱對照'!E$1,SMALL(IF(名稱_所屬洲別="AP",ROW(名稱_所屬洲別),""),row(128:128))-1,0),"")</f>
        <v/>
      </c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4" t="str">
        <f t="array" ref="B130">IFERROR(OFFSET('名稱對照'!E$1,SMALL(IF(名稱_所屬洲別="NA",ROW(名稱_所屬洲別),""),row(129:129))-1,0),"")</f>
        <v/>
      </c>
      <c r="C130" s="14" t="str">
        <f t="array" ref="C130">IFERROR(OFFSET('名稱對照'!E$1,SMALL(IF(名稱_所屬洲別="SA",ROW(名稱_所屬洲別),""),row(129:129))-1,0),"")</f>
        <v/>
      </c>
      <c r="D130" s="14" t="str">
        <f t="array" ref="D130">IFERROR(OFFSET('名稱對照'!E$1,SMALL(IF(名稱_所屬洲別="AF",ROW(名稱_所屬洲別),""),row(129:129))-1,0),"")</f>
        <v/>
      </c>
      <c r="E130" s="14" t="str">
        <f t="array" ref="E130">IFERROR(OFFSET('名稱對照'!E$1,SMALL(IF(名稱_所屬洲別="EU",ROW(名稱_所屬洲別),""),row(129:129))-1,0),"")</f>
        <v/>
      </c>
      <c r="F130" s="16" t="str">
        <f t="array" ref="F130">IFERROR(OFFSET('名稱對照'!E$1,SMALL(IF(名稱_所屬洲別="WA",ROW(名稱_所屬洲別),""),row(129:129))-1,0),"")</f>
        <v/>
      </c>
      <c r="G130" s="14" t="str">
        <f t="array" ref="G130">IFERROR(OFFSET('名稱對照'!E$1,SMALL(IF(名稱_所屬洲別="AP",ROW(名稱_所屬洲別),""),row(129:129))-1,0),"")</f>
        <v/>
      </c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4" t="str">
        <f t="array" ref="B131">IFERROR(OFFSET('名稱對照'!E$1,SMALL(IF(名稱_所屬洲別="NA",ROW(名稱_所屬洲別),""),row(130:130))-1,0),"")</f>
        <v/>
      </c>
      <c r="C131" s="14" t="str">
        <f t="array" ref="C131">IFERROR(OFFSET('名稱對照'!E$1,SMALL(IF(名稱_所屬洲別="SA",ROW(名稱_所屬洲別),""),row(130:130))-1,0),"")</f>
        <v/>
      </c>
      <c r="D131" s="14" t="str">
        <f t="array" ref="D131">IFERROR(OFFSET('名稱對照'!E$1,SMALL(IF(名稱_所屬洲別="AF",ROW(名稱_所屬洲別),""),row(130:130))-1,0),"")</f>
        <v/>
      </c>
      <c r="E131" s="14" t="str">
        <f t="array" ref="E131">IFERROR(OFFSET('名稱對照'!E$1,SMALL(IF(名稱_所屬洲別="EU",ROW(名稱_所屬洲別),""),row(130:130))-1,0),"")</f>
        <v/>
      </c>
      <c r="F131" s="16" t="str">
        <f t="array" ref="F131">IFERROR(OFFSET('名稱對照'!E$1,SMALL(IF(名稱_所屬洲別="WA",ROW(名稱_所屬洲別),""),row(130:130))-1,0),"")</f>
        <v/>
      </c>
      <c r="G131" s="14" t="str">
        <f t="array" ref="G131">IFERROR(OFFSET('名稱對照'!E$1,SMALL(IF(名稱_所屬洲別="AP",ROW(名稱_所屬洲別),""),row(130:130))-1,0),"")</f>
        <v/>
      </c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4" t="str">
        <f t="array" ref="B132">IFERROR(OFFSET('名稱對照'!E$1,SMALL(IF(名稱_所屬洲別="NA",ROW(名稱_所屬洲別),""),row(131:131))-1,0),"")</f>
        <v/>
      </c>
      <c r="C132" s="14" t="str">
        <f t="array" ref="C132">IFERROR(OFFSET('名稱對照'!E$1,SMALL(IF(名稱_所屬洲別="SA",ROW(名稱_所屬洲別),""),row(131:131))-1,0),"")</f>
        <v/>
      </c>
      <c r="D132" s="14" t="str">
        <f t="array" ref="D132">IFERROR(OFFSET('名稱對照'!E$1,SMALL(IF(名稱_所屬洲別="AF",ROW(名稱_所屬洲別),""),row(131:131))-1,0),"")</f>
        <v/>
      </c>
      <c r="E132" s="14" t="str">
        <f t="array" ref="E132">IFERROR(OFFSET('名稱對照'!E$1,SMALL(IF(名稱_所屬洲別="EU",ROW(名稱_所屬洲別),""),row(131:131))-1,0),"")</f>
        <v/>
      </c>
      <c r="F132" s="16" t="str">
        <f t="array" ref="F132">IFERROR(OFFSET('名稱對照'!E$1,SMALL(IF(名稱_所屬洲別="WA",ROW(名稱_所屬洲別),""),row(131:131))-1,0),"")</f>
        <v/>
      </c>
      <c r="G132" s="14" t="str">
        <f t="array" ref="G132">IFERROR(OFFSET('名稱對照'!E$1,SMALL(IF(名稱_所屬洲別="AP",ROW(名稱_所屬洲別),""),row(131:131))-1,0),"")</f>
        <v/>
      </c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4" t="str">
        <f t="array" ref="B133">IFERROR(OFFSET('名稱對照'!E$1,SMALL(IF(名稱_所屬洲別="NA",ROW(名稱_所屬洲別),""),row(132:132))-1,0),"")</f>
        <v/>
      </c>
      <c r="C133" s="14" t="str">
        <f t="array" ref="C133">IFERROR(OFFSET('名稱對照'!E$1,SMALL(IF(名稱_所屬洲別="SA",ROW(名稱_所屬洲別),""),row(132:132))-1,0),"")</f>
        <v/>
      </c>
      <c r="D133" s="14" t="str">
        <f t="array" ref="D133">IFERROR(OFFSET('名稱對照'!E$1,SMALL(IF(名稱_所屬洲別="AF",ROW(名稱_所屬洲別),""),row(132:132))-1,0),"")</f>
        <v/>
      </c>
      <c r="E133" s="14" t="str">
        <f t="array" ref="E133">IFERROR(OFFSET('名稱對照'!E$1,SMALL(IF(名稱_所屬洲別="EU",ROW(名稱_所屬洲別),""),row(132:132))-1,0),"")</f>
        <v/>
      </c>
      <c r="F133" s="16" t="str">
        <f t="array" ref="F133">IFERROR(OFFSET('名稱對照'!E$1,SMALL(IF(名稱_所屬洲別="WA",ROW(名稱_所屬洲別),""),row(132:132))-1,0),"")</f>
        <v/>
      </c>
      <c r="G133" s="14" t="str">
        <f t="array" ref="G133">IFERROR(OFFSET('名稱對照'!E$1,SMALL(IF(名稱_所屬洲別="AP",ROW(名稱_所屬洲別),""),row(132:132))-1,0),"")</f>
        <v/>
      </c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4" t="str">
        <f t="array" ref="B134">IFERROR(OFFSET('名稱對照'!E$1,SMALL(IF(名稱_所屬洲別="NA",ROW(名稱_所屬洲別),""),row(133:133))-1,0),"")</f>
        <v/>
      </c>
      <c r="C134" s="14" t="str">
        <f t="array" ref="C134">IFERROR(OFFSET('名稱對照'!E$1,SMALL(IF(名稱_所屬洲別="SA",ROW(名稱_所屬洲別),""),row(133:133))-1,0),"")</f>
        <v/>
      </c>
      <c r="D134" s="14" t="str">
        <f t="array" ref="D134">IFERROR(OFFSET('名稱對照'!E$1,SMALL(IF(名稱_所屬洲別="AF",ROW(名稱_所屬洲別),""),row(133:133))-1,0),"")</f>
        <v/>
      </c>
      <c r="E134" s="14" t="str">
        <f t="array" ref="E134">IFERROR(OFFSET('名稱對照'!E$1,SMALL(IF(名稱_所屬洲別="EU",ROW(名稱_所屬洲別),""),row(133:133))-1,0),"")</f>
        <v/>
      </c>
      <c r="F134" s="16" t="str">
        <f t="array" ref="F134">IFERROR(OFFSET('名稱對照'!E$1,SMALL(IF(名稱_所屬洲別="WA",ROW(名稱_所屬洲別),""),row(133:133))-1,0),"")</f>
        <v/>
      </c>
      <c r="G134" s="14" t="str">
        <f t="array" ref="G134">IFERROR(OFFSET('名稱對照'!E$1,SMALL(IF(名稱_所屬洲別="AP",ROW(名稱_所屬洲別),""),row(133:133))-1,0),"")</f>
        <v/>
      </c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4" t="str">
        <f t="array" ref="B135">IFERROR(OFFSET('名稱對照'!E$1,SMALL(IF(名稱_所屬洲別="NA",ROW(名稱_所屬洲別),""),row(134:134))-1,0),"")</f>
        <v/>
      </c>
      <c r="C135" s="14" t="str">
        <f t="array" ref="C135">IFERROR(OFFSET('名稱對照'!E$1,SMALL(IF(名稱_所屬洲別="SA",ROW(名稱_所屬洲別),""),row(134:134))-1,0),"")</f>
        <v/>
      </c>
      <c r="D135" s="14" t="str">
        <f t="array" ref="D135">IFERROR(OFFSET('名稱對照'!E$1,SMALL(IF(名稱_所屬洲別="AF",ROW(名稱_所屬洲別),""),row(134:134))-1,0),"")</f>
        <v/>
      </c>
      <c r="E135" s="14" t="str">
        <f t="array" ref="E135">IFERROR(OFFSET('名稱對照'!E$1,SMALL(IF(名稱_所屬洲別="EU",ROW(名稱_所屬洲別),""),row(134:134))-1,0),"")</f>
        <v/>
      </c>
      <c r="F135" s="16" t="str">
        <f t="array" ref="F135">IFERROR(OFFSET('名稱對照'!E$1,SMALL(IF(名稱_所屬洲別="WA",ROW(名稱_所屬洲別),""),row(134:134))-1,0),"")</f>
        <v/>
      </c>
      <c r="G135" s="14" t="str">
        <f t="array" ref="G135">IFERROR(OFFSET('名稱對照'!E$1,SMALL(IF(名稱_所屬洲別="AP",ROW(名稱_所屬洲別),""),row(134:134))-1,0),"")</f>
        <v/>
      </c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4" t="str">
        <f t="array" ref="B136">IFERROR(OFFSET('名稱對照'!E$1,SMALL(IF(名稱_所屬洲別="NA",ROW(名稱_所屬洲別),""),row(135:135))-1,0),"")</f>
        <v/>
      </c>
      <c r="C136" s="14" t="str">
        <f t="array" ref="C136">IFERROR(OFFSET('名稱對照'!E$1,SMALL(IF(名稱_所屬洲別="SA",ROW(名稱_所屬洲別),""),row(135:135))-1,0),"")</f>
        <v/>
      </c>
      <c r="D136" s="14" t="str">
        <f t="array" ref="D136">IFERROR(OFFSET('名稱對照'!E$1,SMALL(IF(名稱_所屬洲別="AF",ROW(名稱_所屬洲別),""),row(135:135))-1,0),"")</f>
        <v/>
      </c>
      <c r="E136" s="14" t="str">
        <f t="array" ref="E136">IFERROR(OFFSET('名稱對照'!E$1,SMALL(IF(名稱_所屬洲別="EU",ROW(名稱_所屬洲別),""),row(135:135))-1,0),"")</f>
        <v/>
      </c>
      <c r="F136" s="16" t="str">
        <f t="array" ref="F136">IFERROR(OFFSET('名稱對照'!E$1,SMALL(IF(名稱_所屬洲別="WA",ROW(名稱_所屬洲別),""),row(135:135))-1,0),"")</f>
        <v/>
      </c>
      <c r="G136" s="14" t="str">
        <f t="array" ref="G136">IFERROR(OFFSET('名稱對照'!E$1,SMALL(IF(名稱_所屬洲別="AP",ROW(名稱_所屬洲別),""),row(135:135))-1,0),"")</f>
        <v/>
      </c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4" t="str">
        <f t="array" ref="B137">IFERROR(OFFSET('名稱對照'!E$1,SMALL(IF(名稱_所屬洲別="NA",ROW(名稱_所屬洲別),""),row(136:136))-1,0),"")</f>
        <v/>
      </c>
      <c r="C137" s="14" t="str">
        <f t="array" ref="C137">IFERROR(OFFSET('名稱對照'!E$1,SMALL(IF(名稱_所屬洲別="SA",ROW(名稱_所屬洲別),""),row(136:136))-1,0),"")</f>
        <v/>
      </c>
      <c r="D137" s="14" t="str">
        <f t="array" ref="D137">IFERROR(OFFSET('名稱對照'!E$1,SMALL(IF(名稱_所屬洲別="AF",ROW(名稱_所屬洲別),""),row(136:136))-1,0),"")</f>
        <v/>
      </c>
      <c r="E137" s="14" t="str">
        <f t="array" ref="E137">IFERROR(OFFSET('名稱對照'!E$1,SMALL(IF(名稱_所屬洲別="EU",ROW(名稱_所屬洲別),""),row(136:136))-1,0),"")</f>
        <v/>
      </c>
      <c r="F137" s="16" t="str">
        <f t="array" ref="F137">IFERROR(OFFSET('名稱對照'!E$1,SMALL(IF(名稱_所屬洲別="WA",ROW(名稱_所屬洲別),""),row(136:136))-1,0),"")</f>
        <v/>
      </c>
      <c r="G137" s="14" t="str">
        <f t="array" ref="G137">IFERROR(OFFSET('名稱對照'!E$1,SMALL(IF(名稱_所屬洲別="AP",ROW(名稱_所屬洲別),""),row(136:136))-1,0),"")</f>
        <v/>
      </c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4" t="str">
        <f t="array" ref="B138">IFERROR(OFFSET('名稱對照'!E$1,SMALL(IF(名稱_所屬洲別="NA",ROW(名稱_所屬洲別),""),row(137:137))-1,0),"")</f>
        <v/>
      </c>
      <c r="C138" s="14" t="str">
        <f t="array" ref="C138">IFERROR(OFFSET('名稱對照'!E$1,SMALL(IF(名稱_所屬洲別="SA",ROW(名稱_所屬洲別),""),row(137:137))-1,0),"")</f>
        <v/>
      </c>
      <c r="D138" s="14" t="str">
        <f t="array" ref="D138">IFERROR(OFFSET('名稱對照'!E$1,SMALL(IF(名稱_所屬洲別="AF",ROW(名稱_所屬洲別),""),row(137:137))-1,0),"")</f>
        <v/>
      </c>
      <c r="E138" s="14" t="str">
        <f t="array" ref="E138">IFERROR(OFFSET('名稱對照'!E$1,SMALL(IF(名稱_所屬洲別="EU",ROW(名稱_所屬洲別),""),row(137:137))-1,0),"")</f>
        <v/>
      </c>
      <c r="F138" s="16" t="str">
        <f t="array" ref="F138">IFERROR(OFFSET('名稱對照'!E$1,SMALL(IF(名稱_所屬洲別="WA",ROW(名稱_所屬洲別),""),row(137:137))-1,0),"")</f>
        <v/>
      </c>
      <c r="G138" s="14" t="str">
        <f t="array" ref="G138">IFERROR(OFFSET('名稱對照'!E$1,SMALL(IF(名稱_所屬洲別="AP",ROW(名稱_所屬洲別),""),row(137:137))-1,0),"")</f>
        <v/>
      </c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4" t="str">
        <f t="array" ref="B139">IFERROR(OFFSET('名稱對照'!E$1,SMALL(IF(名稱_所屬洲別="NA",ROW(名稱_所屬洲別),""),row(138:138))-1,0),"")</f>
        <v/>
      </c>
      <c r="C139" s="14" t="str">
        <f t="array" ref="C139">IFERROR(OFFSET('名稱對照'!E$1,SMALL(IF(名稱_所屬洲別="SA",ROW(名稱_所屬洲別),""),row(138:138))-1,0),"")</f>
        <v/>
      </c>
      <c r="D139" s="14" t="str">
        <f t="array" ref="D139">IFERROR(OFFSET('名稱對照'!E$1,SMALL(IF(名稱_所屬洲別="AF",ROW(名稱_所屬洲別),""),row(138:138))-1,0),"")</f>
        <v/>
      </c>
      <c r="E139" s="14" t="str">
        <f t="array" ref="E139">IFERROR(OFFSET('名稱對照'!E$1,SMALL(IF(名稱_所屬洲別="EU",ROW(名稱_所屬洲別),""),row(138:138))-1,0),"")</f>
        <v/>
      </c>
      <c r="F139" s="16" t="str">
        <f t="array" ref="F139">IFERROR(OFFSET('名稱對照'!E$1,SMALL(IF(名稱_所屬洲別="WA",ROW(名稱_所屬洲別),""),row(138:138))-1,0),"")</f>
        <v/>
      </c>
      <c r="G139" s="14" t="str">
        <f t="array" ref="G139">IFERROR(OFFSET('名稱對照'!E$1,SMALL(IF(名稱_所屬洲別="AP",ROW(名稱_所屬洲別),""),row(138:138))-1,0),"")</f>
        <v/>
      </c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4" t="str">
        <f t="array" ref="B140">IFERROR(OFFSET('名稱對照'!E$1,SMALL(IF(名稱_所屬洲別="NA",ROW(名稱_所屬洲別),""),row(139:139))-1,0),"")</f>
        <v/>
      </c>
      <c r="C140" s="14" t="str">
        <f t="array" ref="C140">IFERROR(OFFSET('名稱對照'!E$1,SMALL(IF(名稱_所屬洲別="SA",ROW(名稱_所屬洲別),""),row(139:139))-1,0),"")</f>
        <v/>
      </c>
      <c r="D140" s="14" t="str">
        <f t="array" ref="D140">IFERROR(OFFSET('名稱對照'!E$1,SMALL(IF(名稱_所屬洲別="AF",ROW(名稱_所屬洲別),""),row(139:139))-1,0),"")</f>
        <v/>
      </c>
      <c r="E140" s="14" t="str">
        <f t="array" ref="E140">IFERROR(OFFSET('名稱對照'!E$1,SMALL(IF(名稱_所屬洲別="EU",ROW(名稱_所屬洲別),""),row(139:139))-1,0),"")</f>
        <v/>
      </c>
      <c r="F140" s="16" t="str">
        <f t="array" ref="F140">IFERROR(OFFSET('名稱對照'!E$1,SMALL(IF(名稱_所屬洲別="WA",ROW(名稱_所屬洲別),""),row(139:139))-1,0),"")</f>
        <v/>
      </c>
      <c r="G140" s="14" t="str">
        <f t="array" ref="G140">IFERROR(OFFSET('名稱對照'!E$1,SMALL(IF(名稱_所屬洲別="AP",ROW(名稱_所屬洲別),""),row(139:139))-1,0),"")</f>
        <v/>
      </c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4" t="str">
        <f t="array" ref="B141">IFERROR(OFFSET('名稱對照'!E$1,SMALL(IF(名稱_所屬洲別="NA",ROW(名稱_所屬洲別),""),row(140:140))-1,0),"")</f>
        <v/>
      </c>
      <c r="C141" s="14" t="str">
        <f t="array" ref="C141">IFERROR(OFFSET('名稱對照'!E$1,SMALL(IF(名稱_所屬洲別="SA",ROW(名稱_所屬洲別),""),row(140:140))-1,0),"")</f>
        <v/>
      </c>
      <c r="D141" s="14" t="str">
        <f t="array" ref="D141">IFERROR(OFFSET('名稱對照'!E$1,SMALL(IF(名稱_所屬洲別="AF",ROW(名稱_所屬洲別),""),row(140:140))-1,0),"")</f>
        <v/>
      </c>
      <c r="E141" s="14" t="str">
        <f t="array" ref="E141">IFERROR(OFFSET('名稱對照'!E$1,SMALL(IF(名稱_所屬洲別="EU",ROW(名稱_所屬洲別),""),row(140:140))-1,0),"")</f>
        <v/>
      </c>
      <c r="F141" s="16" t="str">
        <f t="array" ref="F141">IFERROR(OFFSET('名稱對照'!E$1,SMALL(IF(名稱_所屬洲別="WA",ROW(名稱_所屬洲別),""),row(140:140))-1,0),"")</f>
        <v/>
      </c>
      <c r="G141" s="14" t="str">
        <f t="array" ref="G141">IFERROR(OFFSET('名稱對照'!E$1,SMALL(IF(名稱_所屬洲別="AP",ROW(名稱_所屬洲別),""),row(140:140))-1,0),"")</f>
        <v/>
      </c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4" t="str">
        <f t="array" ref="B142">IFERROR(OFFSET('名稱對照'!E$1,SMALL(IF(名稱_所屬洲別="NA",ROW(名稱_所屬洲別),""),row(141:141))-1,0),"")</f>
        <v/>
      </c>
      <c r="C142" s="14" t="str">
        <f t="array" ref="C142">IFERROR(OFFSET('名稱對照'!E$1,SMALL(IF(名稱_所屬洲別="SA",ROW(名稱_所屬洲別),""),row(141:141))-1,0),"")</f>
        <v/>
      </c>
      <c r="D142" s="14" t="str">
        <f t="array" ref="D142">IFERROR(OFFSET('名稱對照'!E$1,SMALL(IF(名稱_所屬洲別="AF",ROW(名稱_所屬洲別),""),row(141:141))-1,0),"")</f>
        <v/>
      </c>
      <c r="E142" s="14" t="str">
        <f t="array" ref="E142">IFERROR(OFFSET('名稱對照'!E$1,SMALL(IF(名稱_所屬洲別="EU",ROW(名稱_所屬洲別),""),row(141:141))-1,0),"")</f>
        <v/>
      </c>
      <c r="F142" s="16" t="str">
        <f t="array" ref="F142">IFERROR(OFFSET('名稱對照'!E$1,SMALL(IF(名稱_所屬洲別="WA",ROW(名稱_所屬洲別),""),row(141:141))-1,0),"")</f>
        <v/>
      </c>
      <c r="G142" s="14" t="str">
        <f t="array" ref="G142">IFERROR(OFFSET('名稱對照'!E$1,SMALL(IF(名稱_所屬洲別="AP",ROW(名稱_所屬洲別),""),row(141:141))-1,0),"")</f>
        <v/>
      </c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4" t="str">
        <f t="array" ref="B143">IFERROR(OFFSET('名稱對照'!E$1,SMALL(IF(名稱_所屬洲別="NA",ROW(名稱_所屬洲別),""),row(142:142))-1,0),"")</f>
        <v/>
      </c>
      <c r="C143" s="14" t="str">
        <f t="array" ref="C143">IFERROR(OFFSET('名稱對照'!E$1,SMALL(IF(名稱_所屬洲別="SA",ROW(名稱_所屬洲別),""),row(142:142))-1,0),"")</f>
        <v/>
      </c>
      <c r="D143" s="14" t="str">
        <f t="array" ref="D143">IFERROR(OFFSET('名稱對照'!E$1,SMALL(IF(名稱_所屬洲別="AF",ROW(名稱_所屬洲別),""),row(142:142))-1,0),"")</f>
        <v/>
      </c>
      <c r="E143" s="14" t="str">
        <f t="array" ref="E143">IFERROR(OFFSET('名稱對照'!E$1,SMALL(IF(名稱_所屬洲別="EU",ROW(名稱_所屬洲別),""),row(142:142))-1,0),"")</f>
        <v/>
      </c>
      <c r="F143" s="16" t="str">
        <f t="array" ref="F143">IFERROR(OFFSET('名稱對照'!E$1,SMALL(IF(名稱_所屬洲別="WA",ROW(名稱_所屬洲別),""),row(142:142))-1,0),"")</f>
        <v/>
      </c>
      <c r="G143" s="14" t="str">
        <f t="array" ref="G143">IFERROR(OFFSET('名稱對照'!E$1,SMALL(IF(名稱_所屬洲別="AP",ROW(名稱_所屬洲別),""),row(142:142))-1,0),"")</f>
        <v/>
      </c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4" t="str">
        <f t="array" ref="B144">IFERROR(OFFSET('名稱對照'!E$1,SMALL(IF(名稱_所屬洲別="NA",ROW(名稱_所屬洲別),""),row(143:143))-1,0),"")</f>
        <v/>
      </c>
      <c r="C144" s="14" t="str">
        <f t="array" ref="C144">IFERROR(OFFSET('名稱對照'!E$1,SMALL(IF(名稱_所屬洲別="SA",ROW(名稱_所屬洲別),""),row(143:143))-1,0),"")</f>
        <v/>
      </c>
      <c r="D144" s="14" t="str">
        <f t="array" ref="D144">IFERROR(OFFSET('名稱對照'!E$1,SMALL(IF(名稱_所屬洲別="AF",ROW(名稱_所屬洲別),""),row(143:143))-1,0),"")</f>
        <v/>
      </c>
      <c r="E144" s="14" t="str">
        <f t="array" ref="E144">IFERROR(OFFSET('名稱對照'!E$1,SMALL(IF(名稱_所屬洲別="EU",ROW(名稱_所屬洲別),""),row(143:143))-1,0),"")</f>
        <v/>
      </c>
      <c r="F144" s="16" t="str">
        <f t="array" ref="F144">IFERROR(OFFSET('名稱對照'!E$1,SMALL(IF(名稱_所屬洲別="WA",ROW(名稱_所屬洲別),""),row(143:143))-1,0),"")</f>
        <v/>
      </c>
      <c r="G144" s="14" t="str">
        <f t="array" ref="G144">IFERROR(OFFSET('名稱對照'!E$1,SMALL(IF(名稱_所屬洲別="AP",ROW(名稱_所屬洲別),""),row(143:143))-1,0),"")</f>
        <v/>
      </c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4" t="str">
        <f t="array" ref="B145">IFERROR(OFFSET('名稱對照'!E$1,SMALL(IF(名稱_所屬洲別="NA",ROW(名稱_所屬洲別),""),row(144:144))-1,0),"")</f>
        <v/>
      </c>
      <c r="C145" s="14" t="str">
        <f t="array" ref="C145">IFERROR(OFFSET('名稱對照'!E$1,SMALL(IF(名稱_所屬洲別="SA",ROW(名稱_所屬洲別),""),row(144:144))-1,0),"")</f>
        <v/>
      </c>
      <c r="D145" s="14" t="str">
        <f t="array" ref="D145">IFERROR(OFFSET('名稱對照'!E$1,SMALL(IF(名稱_所屬洲別="AF",ROW(名稱_所屬洲別),""),row(144:144))-1,0),"")</f>
        <v/>
      </c>
      <c r="E145" s="14" t="str">
        <f t="array" ref="E145">IFERROR(OFFSET('名稱對照'!E$1,SMALL(IF(名稱_所屬洲別="EU",ROW(名稱_所屬洲別),""),row(144:144))-1,0),"")</f>
        <v/>
      </c>
      <c r="F145" s="16" t="str">
        <f t="array" ref="F145">IFERROR(OFFSET('名稱對照'!E$1,SMALL(IF(名稱_所屬洲別="WA",ROW(名稱_所屬洲別),""),row(144:144))-1,0),"")</f>
        <v/>
      </c>
      <c r="G145" s="14" t="str">
        <f t="array" ref="G145">IFERROR(OFFSET('名稱對照'!E$1,SMALL(IF(名稱_所屬洲別="AP",ROW(名稱_所屬洲別),""),row(144:144))-1,0),"")</f>
        <v/>
      </c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4" t="str">
        <f t="array" ref="B146">IFERROR(OFFSET('名稱對照'!E$1,SMALL(IF(名稱_所屬洲別="NA",ROW(名稱_所屬洲別),""),row(145:145))-1,0),"")</f>
        <v/>
      </c>
      <c r="C146" s="14" t="str">
        <f t="array" ref="C146">IFERROR(OFFSET('名稱對照'!E$1,SMALL(IF(名稱_所屬洲別="SA",ROW(名稱_所屬洲別),""),row(145:145))-1,0),"")</f>
        <v/>
      </c>
      <c r="D146" s="14" t="str">
        <f t="array" ref="D146">IFERROR(OFFSET('名稱對照'!E$1,SMALL(IF(名稱_所屬洲別="AF",ROW(名稱_所屬洲別),""),row(145:145))-1,0),"")</f>
        <v/>
      </c>
      <c r="E146" s="14" t="str">
        <f t="array" ref="E146">IFERROR(OFFSET('名稱對照'!E$1,SMALL(IF(名稱_所屬洲別="EU",ROW(名稱_所屬洲別),""),row(145:145))-1,0),"")</f>
        <v/>
      </c>
      <c r="F146" s="16" t="str">
        <f t="array" ref="F146">IFERROR(OFFSET('名稱對照'!E$1,SMALL(IF(名稱_所屬洲別="WA",ROW(名稱_所屬洲別),""),row(145:145))-1,0),"")</f>
        <v/>
      </c>
      <c r="G146" s="14" t="str">
        <f t="array" ref="G146">IFERROR(OFFSET('名稱對照'!E$1,SMALL(IF(名稱_所屬洲別="AP",ROW(名稱_所屬洲別),""),row(145:145))-1,0),"")</f>
        <v/>
      </c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4" t="str">
        <f t="array" ref="B147">IFERROR(OFFSET('名稱對照'!E$1,SMALL(IF(名稱_所屬洲別="NA",ROW(名稱_所屬洲別),""),row(146:146))-1,0),"")</f>
        <v/>
      </c>
      <c r="C147" s="14" t="str">
        <f t="array" ref="C147">IFERROR(OFFSET('名稱對照'!E$1,SMALL(IF(名稱_所屬洲別="SA",ROW(名稱_所屬洲別),""),row(146:146))-1,0),"")</f>
        <v/>
      </c>
      <c r="D147" s="14" t="str">
        <f t="array" ref="D147">IFERROR(OFFSET('名稱對照'!E$1,SMALL(IF(名稱_所屬洲別="AF",ROW(名稱_所屬洲別),""),row(146:146))-1,0),"")</f>
        <v/>
      </c>
      <c r="E147" s="14" t="str">
        <f t="array" ref="E147">IFERROR(OFFSET('名稱對照'!E$1,SMALL(IF(名稱_所屬洲別="EU",ROW(名稱_所屬洲別),""),row(146:146))-1,0),"")</f>
        <v/>
      </c>
      <c r="F147" s="16" t="str">
        <f t="array" ref="F147">IFERROR(OFFSET('名稱對照'!E$1,SMALL(IF(名稱_所屬洲別="WA",ROW(名稱_所屬洲別),""),row(146:146))-1,0),"")</f>
        <v/>
      </c>
      <c r="G147" s="14" t="str">
        <f t="array" ref="G147">IFERROR(OFFSET('名稱對照'!E$1,SMALL(IF(名稱_所屬洲別="AP",ROW(名稱_所屬洲別),""),row(146:146))-1,0),"")</f>
        <v/>
      </c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4" t="str">
        <f t="array" ref="B148">IFERROR(OFFSET('名稱對照'!E$1,SMALL(IF(名稱_所屬洲別="NA",ROW(名稱_所屬洲別),""),row(147:147))-1,0),"")</f>
        <v/>
      </c>
      <c r="C148" s="14" t="str">
        <f t="array" ref="C148">IFERROR(OFFSET('名稱對照'!E$1,SMALL(IF(名稱_所屬洲別="SA",ROW(名稱_所屬洲別),""),row(147:147))-1,0),"")</f>
        <v/>
      </c>
      <c r="D148" s="14" t="str">
        <f t="array" ref="D148">IFERROR(OFFSET('名稱對照'!E$1,SMALL(IF(名稱_所屬洲別="AF",ROW(名稱_所屬洲別),""),row(147:147))-1,0),"")</f>
        <v/>
      </c>
      <c r="E148" s="14" t="str">
        <f t="array" ref="E148">IFERROR(OFFSET('名稱對照'!E$1,SMALL(IF(名稱_所屬洲別="EU",ROW(名稱_所屬洲別),""),row(147:147))-1,0),"")</f>
        <v/>
      </c>
      <c r="F148" s="16" t="str">
        <f t="array" ref="F148">IFERROR(OFFSET('名稱對照'!E$1,SMALL(IF(名稱_所屬洲別="WA",ROW(名稱_所屬洲別),""),row(147:147))-1,0),"")</f>
        <v/>
      </c>
      <c r="G148" s="14" t="str">
        <f t="array" ref="G148">IFERROR(OFFSET('名稱對照'!E$1,SMALL(IF(名稱_所屬洲別="AP",ROW(名稱_所屬洲別),""),row(147:147))-1,0),"")</f>
        <v/>
      </c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4" t="str">
        <f t="array" ref="B149">IFERROR(OFFSET('名稱對照'!E$1,SMALL(IF(名稱_所屬洲別="NA",ROW(名稱_所屬洲別),""),row(148:148))-1,0),"")</f>
        <v/>
      </c>
      <c r="C149" s="14" t="str">
        <f t="array" ref="C149">IFERROR(OFFSET('名稱對照'!E$1,SMALL(IF(名稱_所屬洲別="SA",ROW(名稱_所屬洲別),""),row(148:148))-1,0),"")</f>
        <v/>
      </c>
      <c r="D149" s="14" t="str">
        <f t="array" ref="D149">IFERROR(OFFSET('名稱對照'!E$1,SMALL(IF(名稱_所屬洲別="AF",ROW(名稱_所屬洲別),""),row(148:148))-1,0),"")</f>
        <v/>
      </c>
      <c r="E149" s="14" t="str">
        <f t="array" ref="E149">IFERROR(OFFSET('名稱對照'!E$1,SMALL(IF(名稱_所屬洲別="EU",ROW(名稱_所屬洲別),""),row(148:148))-1,0),"")</f>
        <v/>
      </c>
      <c r="F149" s="16" t="str">
        <f t="array" ref="F149">IFERROR(OFFSET('名稱對照'!E$1,SMALL(IF(名稱_所屬洲別="WA",ROW(名稱_所屬洲別),""),row(148:148))-1,0),"")</f>
        <v/>
      </c>
      <c r="G149" s="14" t="str">
        <f t="array" ref="G149">IFERROR(OFFSET('名稱對照'!E$1,SMALL(IF(名稱_所屬洲別="AP",ROW(名稱_所屬洲別),""),row(148:148))-1,0),"")</f>
        <v/>
      </c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4" t="str">
        <f t="array" ref="B150">IFERROR(OFFSET('名稱對照'!E$1,SMALL(IF(名稱_所屬洲別="NA",ROW(名稱_所屬洲別),""),row(149:149))-1,0),"")</f>
        <v/>
      </c>
      <c r="C150" s="14" t="str">
        <f t="array" ref="C150">IFERROR(OFFSET('名稱對照'!E$1,SMALL(IF(名稱_所屬洲別="SA",ROW(名稱_所屬洲別),""),row(149:149))-1,0),"")</f>
        <v/>
      </c>
      <c r="D150" s="14" t="str">
        <f t="array" ref="D150">IFERROR(OFFSET('名稱對照'!E$1,SMALL(IF(名稱_所屬洲別="AF",ROW(名稱_所屬洲別),""),row(149:149))-1,0),"")</f>
        <v/>
      </c>
      <c r="E150" s="14" t="str">
        <f t="array" ref="E150">IFERROR(OFFSET('名稱對照'!E$1,SMALL(IF(名稱_所屬洲別="EU",ROW(名稱_所屬洲別),""),row(149:149))-1,0),"")</f>
        <v/>
      </c>
      <c r="F150" s="16" t="str">
        <f t="array" ref="F150">IFERROR(OFFSET('名稱對照'!E$1,SMALL(IF(名稱_所屬洲別="WA",ROW(名稱_所屬洲別),""),row(149:149))-1,0),"")</f>
        <v/>
      </c>
      <c r="G150" s="14" t="str">
        <f t="array" ref="G150">IFERROR(OFFSET('名稱對照'!E$1,SMALL(IF(名稱_所屬洲別="AP",ROW(名稱_所屬洲別),""),row(149:149))-1,0),"")</f>
        <v/>
      </c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4" t="str">
        <f t="array" ref="B151">IFERROR(OFFSET('名稱對照'!E$1,SMALL(IF(名稱_所屬洲別="NA",ROW(名稱_所屬洲別),""),row(150:150))-1,0),"")</f>
        <v/>
      </c>
      <c r="C151" s="14" t="str">
        <f t="array" ref="C151">IFERROR(OFFSET('名稱對照'!E$1,SMALL(IF(名稱_所屬洲別="SA",ROW(名稱_所屬洲別),""),row(150:150))-1,0),"")</f>
        <v/>
      </c>
      <c r="D151" s="14" t="str">
        <f t="array" ref="D151">IFERROR(OFFSET('名稱對照'!E$1,SMALL(IF(名稱_所屬洲別="AF",ROW(名稱_所屬洲別),""),row(150:150))-1,0),"")</f>
        <v/>
      </c>
      <c r="E151" s="14" t="str">
        <f t="array" ref="E151">IFERROR(OFFSET('名稱對照'!E$1,SMALL(IF(名稱_所屬洲別="EU",ROW(名稱_所屬洲別),""),row(150:150))-1,0),"")</f>
        <v/>
      </c>
      <c r="F151" s="16" t="str">
        <f t="array" ref="F151">IFERROR(OFFSET('名稱對照'!E$1,SMALL(IF(名稱_所屬洲別="WA",ROW(名稱_所屬洲別),""),row(150:150))-1,0),"")</f>
        <v/>
      </c>
      <c r="G151" s="14" t="str">
        <f t="array" ref="G151">IFERROR(OFFSET('名稱對照'!E$1,SMALL(IF(名稱_所屬洲別="AP",ROW(名稱_所屬洲別),""),row(150:150))-1,0),"")</f>
        <v/>
      </c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4" t="str">
        <f t="array" ref="B152">IFERROR(OFFSET('名稱對照'!E$1,SMALL(IF(名稱_所屬洲別="NA",ROW(名稱_所屬洲別),""),row(151:151))-1,0),"")</f>
        <v/>
      </c>
      <c r="C152" s="14" t="str">
        <f t="array" ref="C152">IFERROR(OFFSET('名稱對照'!E$1,SMALL(IF(名稱_所屬洲別="SA",ROW(名稱_所屬洲別),""),row(151:151))-1,0),"")</f>
        <v/>
      </c>
      <c r="D152" s="14" t="str">
        <f t="array" ref="D152">IFERROR(OFFSET('名稱對照'!E$1,SMALL(IF(名稱_所屬洲別="AF",ROW(名稱_所屬洲別),""),row(151:151))-1,0),"")</f>
        <v/>
      </c>
      <c r="E152" s="14" t="str">
        <f t="array" ref="E152">IFERROR(OFFSET('名稱對照'!E$1,SMALL(IF(名稱_所屬洲別="EU",ROW(名稱_所屬洲別),""),row(151:151))-1,0),"")</f>
        <v/>
      </c>
      <c r="F152" s="16" t="str">
        <f t="array" ref="F152">IFERROR(OFFSET('名稱對照'!E$1,SMALL(IF(名稱_所屬洲別="WA",ROW(名稱_所屬洲別),""),row(151:151))-1,0),"")</f>
        <v/>
      </c>
      <c r="G152" s="14" t="str">
        <f t="array" ref="G152">IFERROR(OFFSET('名稱對照'!E$1,SMALL(IF(名稱_所屬洲別="AP",ROW(名稱_所屬洲別),""),row(151:151))-1,0),"")</f>
        <v/>
      </c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4" t="str">
        <f t="array" ref="B153">IFERROR(OFFSET('名稱對照'!E$1,SMALL(IF(名稱_所屬洲別="NA",ROW(名稱_所屬洲別),""),row(152:152))-1,0),"")</f>
        <v/>
      </c>
      <c r="C153" s="14" t="str">
        <f t="array" ref="C153">IFERROR(OFFSET('名稱對照'!E$1,SMALL(IF(名稱_所屬洲別="SA",ROW(名稱_所屬洲別),""),row(152:152))-1,0),"")</f>
        <v/>
      </c>
      <c r="D153" s="14" t="str">
        <f t="array" ref="D153">IFERROR(OFFSET('名稱對照'!E$1,SMALL(IF(名稱_所屬洲別="AF",ROW(名稱_所屬洲別),""),row(152:152))-1,0),"")</f>
        <v/>
      </c>
      <c r="E153" s="14" t="str">
        <f t="array" ref="E153">IFERROR(OFFSET('名稱對照'!E$1,SMALL(IF(名稱_所屬洲別="EU",ROW(名稱_所屬洲別),""),row(152:152))-1,0),"")</f>
        <v/>
      </c>
      <c r="F153" s="16" t="str">
        <f t="array" ref="F153">IFERROR(OFFSET('名稱對照'!E$1,SMALL(IF(名稱_所屬洲別="WA",ROW(名稱_所屬洲別),""),row(152:152))-1,0),"")</f>
        <v/>
      </c>
      <c r="G153" s="14" t="str">
        <f t="array" ref="G153">IFERROR(OFFSET('名稱對照'!E$1,SMALL(IF(名稱_所屬洲別="AP",ROW(名稱_所屬洲別),""),row(152:152))-1,0),"")</f>
        <v/>
      </c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4" t="str">
        <f t="array" ref="B154">IFERROR(OFFSET('名稱對照'!E$1,SMALL(IF(名稱_所屬洲別="NA",ROW(名稱_所屬洲別),""),row(153:153))-1,0),"")</f>
        <v/>
      </c>
      <c r="C154" s="14" t="str">
        <f t="array" ref="C154">IFERROR(OFFSET('名稱對照'!E$1,SMALL(IF(名稱_所屬洲別="SA",ROW(名稱_所屬洲別),""),row(153:153))-1,0),"")</f>
        <v/>
      </c>
      <c r="D154" s="14" t="str">
        <f t="array" ref="D154">IFERROR(OFFSET('名稱對照'!E$1,SMALL(IF(名稱_所屬洲別="AF",ROW(名稱_所屬洲別),""),row(153:153))-1,0),"")</f>
        <v/>
      </c>
      <c r="E154" s="14" t="str">
        <f t="array" ref="E154">IFERROR(OFFSET('名稱對照'!E$1,SMALL(IF(名稱_所屬洲別="EU",ROW(名稱_所屬洲別),""),row(153:153))-1,0),"")</f>
        <v/>
      </c>
      <c r="F154" s="16" t="str">
        <f t="array" ref="F154">IFERROR(OFFSET('名稱對照'!E$1,SMALL(IF(名稱_所屬洲別="WA",ROW(名稱_所屬洲別),""),row(153:153))-1,0),"")</f>
        <v/>
      </c>
      <c r="G154" s="14" t="str">
        <f t="array" ref="G154">IFERROR(OFFSET('名稱對照'!E$1,SMALL(IF(名稱_所屬洲別="AP",ROW(名稱_所屬洲別),""),row(153:153))-1,0),"")</f>
        <v/>
      </c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4" t="str">
        <f t="array" ref="B155">IFERROR(OFFSET('名稱對照'!E$1,SMALL(IF(名稱_所屬洲別="NA",ROW(名稱_所屬洲別),""),row(154:154))-1,0),"")</f>
        <v/>
      </c>
      <c r="C155" s="14" t="str">
        <f t="array" ref="C155">IFERROR(OFFSET('名稱對照'!E$1,SMALL(IF(名稱_所屬洲別="SA",ROW(名稱_所屬洲別),""),row(154:154))-1,0),"")</f>
        <v/>
      </c>
      <c r="D155" s="14" t="str">
        <f t="array" ref="D155">IFERROR(OFFSET('名稱對照'!E$1,SMALL(IF(名稱_所屬洲別="AF",ROW(名稱_所屬洲別),""),row(154:154))-1,0),"")</f>
        <v/>
      </c>
      <c r="E155" s="14" t="str">
        <f t="array" ref="E155">IFERROR(OFFSET('名稱對照'!E$1,SMALL(IF(名稱_所屬洲別="EU",ROW(名稱_所屬洲別),""),row(154:154))-1,0),"")</f>
        <v/>
      </c>
      <c r="F155" s="16" t="str">
        <f t="array" ref="F155">IFERROR(OFFSET('名稱對照'!E$1,SMALL(IF(名稱_所屬洲別="WA",ROW(名稱_所屬洲別),""),row(154:154))-1,0),"")</f>
        <v/>
      </c>
      <c r="G155" s="14" t="str">
        <f t="array" ref="G155">IFERROR(OFFSET('名稱對照'!E$1,SMALL(IF(名稱_所屬洲別="AP",ROW(名稱_所屬洲別),""),row(154:154))-1,0),"")</f>
        <v/>
      </c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4" t="str">
        <f t="array" ref="B156">IFERROR(OFFSET('名稱對照'!E$1,SMALL(IF(名稱_所屬洲別="NA",ROW(名稱_所屬洲別),""),row(155:155))-1,0),"")</f>
        <v/>
      </c>
      <c r="C156" s="14" t="str">
        <f t="array" ref="C156">IFERROR(OFFSET('名稱對照'!E$1,SMALL(IF(名稱_所屬洲別="SA",ROW(名稱_所屬洲別),""),row(155:155))-1,0),"")</f>
        <v/>
      </c>
      <c r="D156" s="14" t="str">
        <f t="array" ref="D156">IFERROR(OFFSET('名稱對照'!E$1,SMALL(IF(名稱_所屬洲別="AF",ROW(名稱_所屬洲別),""),row(155:155))-1,0),"")</f>
        <v/>
      </c>
      <c r="E156" s="14" t="str">
        <f t="array" ref="E156">IFERROR(OFFSET('名稱對照'!E$1,SMALL(IF(名稱_所屬洲別="EU",ROW(名稱_所屬洲別),""),row(155:155))-1,0),"")</f>
        <v/>
      </c>
      <c r="F156" s="16" t="str">
        <f t="array" ref="F156">IFERROR(OFFSET('名稱對照'!E$1,SMALL(IF(名稱_所屬洲別="WA",ROW(名稱_所屬洲別),""),row(155:155))-1,0),"")</f>
        <v/>
      </c>
      <c r="G156" s="14" t="str">
        <f t="array" ref="G156">IFERROR(OFFSET('名稱對照'!E$1,SMALL(IF(名稱_所屬洲別="AP",ROW(名稱_所屬洲別),""),row(155:155))-1,0),"")</f>
        <v/>
      </c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4" t="str">
        <f t="array" ref="B157">IFERROR(OFFSET('名稱對照'!E$1,SMALL(IF(名稱_所屬洲別="NA",ROW(名稱_所屬洲別),""),row(156:156))-1,0),"")</f>
        <v/>
      </c>
      <c r="C157" s="14" t="str">
        <f t="array" ref="C157">IFERROR(OFFSET('名稱對照'!E$1,SMALL(IF(名稱_所屬洲別="SA",ROW(名稱_所屬洲別),""),row(156:156))-1,0),"")</f>
        <v/>
      </c>
      <c r="D157" s="14" t="str">
        <f t="array" ref="D157">IFERROR(OFFSET('名稱對照'!E$1,SMALL(IF(名稱_所屬洲別="AF",ROW(名稱_所屬洲別),""),row(156:156))-1,0),"")</f>
        <v/>
      </c>
      <c r="E157" s="14" t="str">
        <f t="array" ref="E157">IFERROR(OFFSET('名稱對照'!E$1,SMALL(IF(名稱_所屬洲別="EU",ROW(名稱_所屬洲別),""),row(156:156))-1,0),"")</f>
        <v/>
      </c>
      <c r="F157" s="16" t="str">
        <f t="array" ref="F157">IFERROR(OFFSET('名稱對照'!E$1,SMALL(IF(名稱_所屬洲別="WA",ROW(名稱_所屬洲別),""),row(156:156))-1,0),"")</f>
        <v/>
      </c>
      <c r="G157" s="14" t="str">
        <f t="array" ref="G157">IFERROR(OFFSET('名稱對照'!E$1,SMALL(IF(名稱_所屬洲別="AP",ROW(名稱_所屬洲別),""),row(156:156))-1,0),"")</f>
        <v/>
      </c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4" t="str">
        <f t="array" ref="B158">IFERROR(OFFSET('名稱對照'!E$1,SMALL(IF(名稱_所屬洲別="NA",ROW(名稱_所屬洲別),""),row(157:157))-1,0),"")</f>
        <v/>
      </c>
      <c r="C158" s="14" t="str">
        <f t="array" ref="C158">IFERROR(OFFSET('名稱對照'!E$1,SMALL(IF(名稱_所屬洲別="SA",ROW(名稱_所屬洲別),""),row(157:157))-1,0),"")</f>
        <v/>
      </c>
      <c r="D158" s="14" t="str">
        <f t="array" ref="D158">IFERROR(OFFSET('名稱對照'!E$1,SMALL(IF(名稱_所屬洲別="AF",ROW(名稱_所屬洲別),""),row(157:157))-1,0),"")</f>
        <v/>
      </c>
      <c r="E158" s="14" t="str">
        <f t="array" ref="E158">IFERROR(OFFSET('名稱對照'!E$1,SMALL(IF(名稱_所屬洲別="EU",ROW(名稱_所屬洲別),""),row(157:157))-1,0),"")</f>
        <v/>
      </c>
      <c r="F158" s="16" t="str">
        <f t="array" ref="F158">IFERROR(OFFSET('名稱對照'!E$1,SMALL(IF(名稱_所屬洲別="WA",ROW(名稱_所屬洲別),""),row(157:157))-1,0),"")</f>
        <v/>
      </c>
      <c r="G158" s="14" t="str">
        <f t="array" ref="G158">IFERROR(OFFSET('名稱對照'!E$1,SMALL(IF(名稱_所屬洲別="AP",ROW(名稱_所屬洲別),""),row(157:157))-1,0),"")</f>
        <v/>
      </c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4" t="str">
        <f t="array" ref="B159">IFERROR(OFFSET('名稱對照'!E$1,SMALL(IF(名稱_所屬洲別="NA",ROW(名稱_所屬洲別),""),row(158:158))-1,0),"")</f>
        <v/>
      </c>
      <c r="C159" s="14" t="str">
        <f t="array" ref="C159">IFERROR(OFFSET('名稱對照'!E$1,SMALL(IF(名稱_所屬洲別="SA",ROW(名稱_所屬洲別),""),row(158:158))-1,0),"")</f>
        <v/>
      </c>
      <c r="D159" s="14" t="str">
        <f t="array" ref="D159">IFERROR(OFFSET('名稱對照'!E$1,SMALL(IF(名稱_所屬洲別="AF",ROW(名稱_所屬洲別),""),row(158:158))-1,0),"")</f>
        <v/>
      </c>
      <c r="E159" s="14" t="str">
        <f t="array" ref="E159">IFERROR(OFFSET('名稱對照'!E$1,SMALL(IF(名稱_所屬洲別="EU",ROW(名稱_所屬洲別),""),row(158:158))-1,0),"")</f>
        <v/>
      </c>
      <c r="F159" s="16" t="str">
        <f t="array" ref="F159">IFERROR(OFFSET('名稱對照'!E$1,SMALL(IF(名稱_所屬洲別="WA",ROW(名稱_所屬洲別),""),row(158:158))-1,0),"")</f>
        <v/>
      </c>
      <c r="G159" s="14" t="str">
        <f t="array" ref="G159">IFERROR(OFFSET('名稱對照'!E$1,SMALL(IF(名稱_所屬洲別="AP",ROW(名稱_所屬洲別),""),row(158:158))-1,0),"")</f>
        <v/>
      </c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4" t="str">
        <f t="array" ref="B160">IFERROR(OFFSET('名稱對照'!E$1,SMALL(IF(名稱_所屬洲別="NA",ROW(名稱_所屬洲別),""),row(159:159))-1,0),"")</f>
        <v/>
      </c>
      <c r="C160" s="14" t="str">
        <f t="array" ref="C160">IFERROR(OFFSET('名稱對照'!E$1,SMALL(IF(名稱_所屬洲別="SA",ROW(名稱_所屬洲別),""),row(159:159))-1,0),"")</f>
        <v/>
      </c>
      <c r="D160" s="14" t="str">
        <f t="array" ref="D160">IFERROR(OFFSET('名稱對照'!E$1,SMALL(IF(名稱_所屬洲別="AF",ROW(名稱_所屬洲別),""),row(159:159))-1,0),"")</f>
        <v/>
      </c>
      <c r="E160" s="14" t="str">
        <f t="array" ref="E160">IFERROR(OFFSET('名稱對照'!E$1,SMALL(IF(名稱_所屬洲別="EU",ROW(名稱_所屬洲別),""),row(159:159))-1,0),"")</f>
        <v/>
      </c>
      <c r="F160" s="16" t="str">
        <f t="array" ref="F160">IFERROR(OFFSET('名稱對照'!E$1,SMALL(IF(名稱_所屬洲別="WA",ROW(名稱_所屬洲別),""),row(159:159))-1,0),"")</f>
        <v/>
      </c>
      <c r="G160" s="14" t="str">
        <f t="array" ref="G160">IFERROR(OFFSET('名稱對照'!E$1,SMALL(IF(名稱_所屬洲別="AP",ROW(名稱_所屬洲別),""),row(159:159))-1,0),"")</f>
        <v/>
      </c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4" t="str">
        <f t="array" ref="B161">IFERROR(OFFSET('名稱對照'!E$1,SMALL(IF(名稱_所屬洲別="NA",ROW(名稱_所屬洲別),""),row(160:160))-1,0),"")</f>
        <v/>
      </c>
      <c r="C161" s="14" t="str">
        <f t="array" ref="C161">IFERROR(OFFSET('名稱對照'!E$1,SMALL(IF(名稱_所屬洲別="SA",ROW(名稱_所屬洲別),""),row(160:160))-1,0),"")</f>
        <v/>
      </c>
      <c r="D161" s="14" t="str">
        <f t="array" ref="D161">IFERROR(OFFSET('名稱對照'!E$1,SMALL(IF(名稱_所屬洲別="AF",ROW(名稱_所屬洲別),""),row(160:160))-1,0),"")</f>
        <v/>
      </c>
      <c r="E161" s="14" t="str">
        <f t="array" ref="E161">IFERROR(OFFSET('名稱對照'!E$1,SMALL(IF(名稱_所屬洲別="EU",ROW(名稱_所屬洲別),""),row(160:160))-1,0),"")</f>
        <v/>
      </c>
      <c r="F161" s="16" t="str">
        <f t="array" ref="F161">IFERROR(OFFSET('名稱對照'!E$1,SMALL(IF(名稱_所屬洲別="WA",ROW(名稱_所屬洲別),""),row(160:160))-1,0),"")</f>
        <v/>
      </c>
      <c r="G161" s="14" t="str">
        <f t="array" ref="G161">IFERROR(OFFSET('名稱對照'!E$1,SMALL(IF(名稱_所屬洲別="AP",ROW(名稱_所屬洲別),""),row(160:160))-1,0),"")</f>
        <v/>
      </c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4" t="str">
        <f t="array" ref="B162">IFERROR(OFFSET('名稱對照'!E$1,SMALL(IF(名稱_所屬洲別="NA",ROW(名稱_所屬洲別),""),row(161:161))-1,0),"")</f>
        <v/>
      </c>
      <c r="C162" s="14" t="str">
        <f t="array" ref="C162">IFERROR(OFFSET('名稱對照'!E$1,SMALL(IF(名稱_所屬洲別="SA",ROW(名稱_所屬洲別),""),row(161:161))-1,0),"")</f>
        <v/>
      </c>
      <c r="D162" s="14" t="str">
        <f t="array" ref="D162">IFERROR(OFFSET('名稱對照'!E$1,SMALL(IF(名稱_所屬洲別="AF",ROW(名稱_所屬洲別),""),row(161:161))-1,0),"")</f>
        <v/>
      </c>
      <c r="E162" s="14" t="str">
        <f t="array" ref="E162">IFERROR(OFFSET('名稱對照'!E$1,SMALL(IF(名稱_所屬洲別="EU",ROW(名稱_所屬洲別),""),row(161:161))-1,0),"")</f>
        <v/>
      </c>
      <c r="F162" s="16" t="str">
        <f t="array" ref="F162">IFERROR(OFFSET('名稱對照'!E$1,SMALL(IF(名稱_所屬洲別="WA",ROW(名稱_所屬洲別),""),row(161:161))-1,0),"")</f>
        <v/>
      </c>
      <c r="G162" s="14" t="str">
        <f t="array" ref="G162">IFERROR(OFFSET('名稱對照'!E$1,SMALL(IF(名稱_所屬洲別="AP",ROW(名稱_所屬洲別),""),row(161:161))-1,0),"")</f>
        <v/>
      </c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4" t="str">
        <f t="array" ref="B163">IFERROR(OFFSET('名稱對照'!E$1,SMALL(IF(名稱_所屬洲別="NA",ROW(名稱_所屬洲別),""),row(162:162))-1,0),"")</f>
        <v/>
      </c>
      <c r="C163" s="14" t="str">
        <f t="array" ref="C163">IFERROR(OFFSET('名稱對照'!E$1,SMALL(IF(名稱_所屬洲別="SA",ROW(名稱_所屬洲別),""),row(162:162))-1,0),"")</f>
        <v/>
      </c>
      <c r="D163" s="14" t="str">
        <f t="array" ref="D163">IFERROR(OFFSET('名稱對照'!E$1,SMALL(IF(名稱_所屬洲別="AF",ROW(名稱_所屬洲別),""),row(162:162))-1,0),"")</f>
        <v/>
      </c>
      <c r="E163" s="14" t="str">
        <f t="array" ref="E163">IFERROR(OFFSET('名稱對照'!E$1,SMALL(IF(名稱_所屬洲別="EU",ROW(名稱_所屬洲別),""),row(162:162))-1,0),"")</f>
        <v/>
      </c>
      <c r="F163" s="16" t="str">
        <f t="array" ref="F163">IFERROR(OFFSET('名稱對照'!E$1,SMALL(IF(名稱_所屬洲別="WA",ROW(名稱_所屬洲別),""),row(162:162))-1,0),"")</f>
        <v/>
      </c>
      <c r="G163" s="14" t="str">
        <f t="array" ref="G163">IFERROR(OFFSET('名稱對照'!E$1,SMALL(IF(名稱_所屬洲別="AP",ROW(名稱_所屬洲別),""),row(162:162))-1,0),"")</f>
        <v/>
      </c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4" t="str">
        <f t="array" ref="B164">IFERROR(OFFSET('名稱對照'!E$1,SMALL(IF(名稱_所屬洲別="NA",ROW(名稱_所屬洲別),""),row(163:163))-1,0),"")</f>
        <v/>
      </c>
      <c r="C164" s="14" t="str">
        <f t="array" ref="C164">IFERROR(OFFSET('名稱對照'!E$1,SMALL(IF(名稱_所屬洲別="SA",ROW(名稱_所屬洲別),""),row(163:163))-1,0),"")</f>
        <v/>
      </c>
      <c r="D164" s="14" t="str">
        <f t="array" ref="D164">IFERROR(OFFSET('名稱對照'!E$1,SMALL(IF(名稱_所屬洲別="AF",ROW(名稱_所屬洲別),""),row(163:163))-1,0),"")</f>
        <v/>
      </c>
      <c r="E164" s="14" t="str">
        <f t="array" ref="E164">IFERROR(OFFSET('名稱對照'!E$1,SMALL(IF(名稱_所屬洲別="EU",ROW(名稱_所屬洲別),""),row(163:163))-1,0),"")</f>
        <v/>
      </c>
      <c r="F164" s="16" t="str">
        <f t="array" ref="F164">IFERROR(OFFSET('名稱對照'!E$1,SMALL(IF(名稱_所屬洲別="WA",ROW(名稱_所屬洲別),""),row(163:163))-1,0),"")</f>
        <v/>
      </c>
      <c r="G164" s="14" t="str">
        <f t="array" ref="G164">IFERROR(OFFSET('名稱對照'!E$1,SMALL(IF(名稱_所屬洲別="AP",ROW(名稱_所屬洲別),""),row(163:163))-1,0),"")</f>
        <v/>
      </c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4" t="str">
        <f t="array" ref="B165">IFERROR(OFFSET('名稱對照'!E$1,SMALL(IF(名稱_所屬洲別="NA",ROW(名稱_所屬洲別),""),row(164:164))-1,0),"")</f>
        <v/>
      </c>
      <c r="C165" s="14" t="str">
        <f t="array" ref="C165">IFERROR(OFFSET('名稱對照'!E$1,SMALL(IF(名稱_所屬洲別="SA",ROW(名稱_所屬洲別),""),row(164:164))-1,0),"")</f>
        <v/>
      </c>
      <c r="D165" s="14" t="str">
        <f t="array" ref="D165">IFERROR(OFFSET('名稱對照'!E$1,SMALL(IF(名稱_所屬洲別="AF",ROW(名稱_所屬洲別),""),row(164:164))-1,0),"")</f>
        <v/>
      </c>
      <c r="E165" s="14" t="str">
        <f t="array" ref="E165">IFERROR(OFFSET('名稱對照'!E$1,SMALL(IF(名稱_所屬洲別="EU",ROW(名稱_所屬洲別),""),row(164:164))-1,0),"")</f>
        <v/>
      </c>
      <c r="F165" s="16" t="str">
        <f t="array" ref="F165">IFERROR(OFFSET('名稱對照'!E$1,SMALL(IF(名稱_所屬洲別="WA",ROW(名稱_所屬洲別),""),row(164:164))-1,0),"")</f>
        <v/>
      </c>
      <c r="G165" s="14" t="str">
        <f t="array" ref="G165">IFERROR(OFFSET('名稱對照'!E$1,SMALL(IF(名稱_所屬洲別="AP",ROW(名稱_所屬洲別),""),row(164:164))-1,0),"")</f>
        <v/>
      </c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4" t="str">
        <f t="array" ref="B166">IFERROR(OFFSET('名稱對照'!E$1,SMALL(IF(名稱_所屬洲別="NA",ROW(名稱_所屬洲別),""),row(165:165))-1,0),"")</f>
        <v/>
      </c>
      <c r="C166" s="14" t="str">
        <f t="array" ref="C166">IFERROR(OFFSET('名稱對照'!E$1,SMALL(IF(名稱_所屬洲別="SA",ROW(名稱_所屬洲別),""),row(165:165))-1,0),"")</f>
        <v/>
      </c>
      <c r="D166" s="14" t="str">
        <f t="array" ref="D166">IFERROR(OFFSET('名稱對照'!E$1,SMALL(IF(名稱_所屬洲別="AF",ROW(名稱_所屬洲別),""),row(165:165))-1,0),"")</f>
        <v/>
      </c>
      <c r="E166" s="14" t="str">
        <f t="array" ref="E166">IFERROR(OFFSET('名稱對照'!E$1,SMALL(IF(名稱_所屬洲別="EU",ROW(名稱_所屬洲別),""),row(165:165))-1,0),"")</f>
        <v/>
      </c>
      <c r="F166" s="16" t="str">
        <f t="array" ref="F166">IFERROR(OFFSET('名稱對照'!E$1,SMALL(IF(名稱_所屬洲別="WA",ROW(名稱_所屬洲別),""),row(165:165))-1,0),"")</f>
        <v/>
      </c>
      <c r="G166" s="14" t="str">
        <f t="array" ref="G166">IFERROR(OFFSET('名稱對照'!E$1,SMALL(IF(名稱_所屬洲別="AP",ROW(名稱_所屬洲別),""),row(165:165))-1,0),"")</f>
        <v/>
      </c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4" t="str">
        <f t="array" ref="B167">IFERROR(OFFSET('名稱對照'!E$1,SMALL(IF(名稱_所屬洲別="NA",ROW(名稱_所屬洲別),""),row(166:166))-1,0),"")</f>
        <v/>
      </c>
      <c r="C167" s="14" t="str">
        <f t="array" ref="C167">IFERROR(OFFSET('名稱對照'!E$1,SMALL(IF(名稱_所屬洲別="SA",ROW(名稱_所屬洲別),""),row(166:166))-1,0),"")</f>
        <v/>
      </c>
      <c r="D167" s="14" t="str">
        <f t="array" ref="D167">IFERROR(OFFSET('名稱對照'!E$1,SMALL(IF(名稱_所屬洲別="AF",ROW(名稱_所屬洲別),""),row(166:166))-1,0),"")</f>
        <v/>
      </c>
      <c r="E167" s="14" t="str">
        <f t="array" ref="E167">IFERROR(OFFSET('名稱對照'!E$1,SMALL(IF(名稱_所屬洲別="EU",ROW(名稱_所屬洲別),""),row(166:166))-1,0),"")</f>
        <v/>
      </c>
      <c r="F167" s="16" t="str">
        <f t="array" ref="F167">IFERROR(OFFSET('名稱對照'!E$1,SMALL(IF(名稱_所屬洲別="WA",ROW(名稱_所屬洲別),""),row(166:166))-1,0),"")</f>
        <v/>
      </c>
      <c r="G167" s="14" t="str">
        <f t="array" ref="G167">IFERROR(OFFSET('名稱對照'!E$1,SMALL(IF(名稱_所屬洲別="AP",ROW(名稱_所屬洲別),""),row(166:166))-1,0),"")</f>
        <v/>
      </c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4" t="str">
        <f t="array" ref="B168">IFERROR(OFFSET('名稱對照'!E$1,SMALL(IF(名稱_所屬洲別="NA",ROW(名稱_所屬洲別),""),row(167:167))-1,0),"")</f>
        <v/>
      </c>
      <c r="C168" s="14" t="str">
        <f t="array" ref="C168">IFERROR(OFFSET('名稱對照'!E$1,SMALL(IF(名稱_所屬洲別="SA",ROW(名稱_所屬洲別),""),row(167:167))-1,0),"")</f>
        <v/>
      </c>
      <c r="D168" s="14" t="str">
        <f t="array" ref="D168">IFERROR(OFFSET('名稱對照'!E$1,SMALL(IF(名稱_所屬洲別="AF",ROW(名稱_所屬洲別),""),row(167:167))-1,0),"")</f>
        <v/>
      </c>
      <c r="E168" s="14" t="str">
        <f t="array" ref="E168">IFERROR(OFFSET('名稱對照'!E$1,SMALL(IF(名稱_所屬洲別="EU",ROW(名稱_所屬洲別),""),row(167:167))-1,0),"")</f>
        <v/>
      </c>
      <c r="F168" s="16" t="str">
        <f t="array" ref="F168">IFERROR(OFFSET('名稱對照'!E$1,SMALL(IF(名稱_所屬洲別="WA",ROW(名稱_所屬洲別),""),row(167:167))-1,0),"")</f>
        <v/>
      </c>
      <c r="G168" s="14" t="str">
        <f t="array" ref="G168">IFERROR(OFFSET('名稱對照'!E$1,SMALL(IF(名稱_所屬洲別="AP",ROW(名稱_所屬洲別),""),row(167:167))-1,0),"")</f>
        <v/>
      </c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4" t="str">
        <f t="array" ref="B169">IFERROR(OFFSET('名稱對照'!E$1,SMALL(IF(名稱_所屬洲別="NA",ROW(名稱_所屬洲別),""),row(168:168))-1,0),"")</f>
        <v/>
      </c>
      <c r="C169" s="14" t="str">
        <f t="array" ref="C169">IFERROR(OFFSET('名稱對照'!E$1,SMALL(IF(名稱_所屬洲別="SA",ROW(名稱_所屬洲別),""),row(168:168))-1,0),"")</f>
        <v/>
      </c>
      <c r="D169" s="14" t="str">
        <f t="array" ref="D169">IFERROR(OFFSET('名稱對照'!E$1,SMALL(IF(名稱_所屬洲別="AF",ROW(名稱_所屬洲別),""),row(168:168))-1,0),"")</f>
        <v/>
      </c>
      <c r="E169" s="14" t="str">
        <f t="array" ref="E169">IFERROR(OFFSET('名稱對照'!E$1,SMALL(IF(名稱_所屬洲別="EU",ROW(名稱_所屬洲別),""),row(168:168))-1,0),"")</f>
        <v/>
      </c>
      <c r="F169" s="16" t="str">
        <f t="array" ref="F169">IFERROR(OFFSET('名稱對照'!E$1,SMALL(IF(名稱_所屬洲別="WA",ROW(名稱_所屬洲別),""),row(168:168))-1,0),"")</f>
        <v/>
      </c>
      <c r="G169" s="14" t="str">
        <f t="array" ref="G169">IFERROR(OFFSET('名稱對照'!E$1,SMALL(IF(名稱_所屬洲別="AP",ROW(名稱_所屬洲別),""),row(168:168))-1,0),"")</f>
        <v/>
      </c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4" t="str">
        <f t="array" ref="B170">IFERROR(OFFSET('名稱對照'!E$1,SMALL(IF(名稱_所屬洲別="NA",ROW(名稱_所屬洲別),""),row(169:169))-1,0),"")</f>
        <v/>
      </c>
      <c r="C170" s="14" t="str">
        <f t="array" ref="C170">IFERROR(OFFSET('名稱對照'!E$1,SMALL(IF(名稱_所屬洲別="SA",ROW(名稱_所屬洲別),""),row(169:169))-1,0),"")</f>
        <v/>
      </c>
      <c r="D170" s="14" t="str">
        <f t="array" ref="D170">IFERROR(OFFSET('名稱對照'!E$1,SMALL(IF(名稱_所屬洲別="AF",ROW(名稱_所屬洲別),""),row(169:169))-1,0),"")</f>
        <v/>
      </c>
      <c r="E170" s="14" t="str">
        <f t="array" ref="E170">IFERROR(OFFSET('名稱對照'!E$1,SMALL(IF(名稱_所屬洲別="EU",ROW(名稱_所屬洲別),""),row(169:169))-1,0),"")</f>
        <v/>
      </c>
      <c r="F170" s="16" t="str">
        <f t="array" ref="F170">IFERROR(OFFSET('名稱對照'!E$1,SMALL(IF(名稱_所屬洲別="WA",ROW(名稱_所屬洲別),""),row(169:169))-1,0),"")</f>
        <v/>
      </c>
      <c r="G170" s="14" t="str">
        <f t="array" ref="G170">IFERROR(OFFSET('名稱對照'!E$1,SMALL(IF(名稱_所屬洲別="AP",ROW(名稱_所屬洲別),""),row(169:169))-1,0),"")</f>
        <v/>
      </c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4" t="str">
        <f t="array" ref="B171">IFERROR(OFFSET('名稱對照'!E$1,SMALL(IF(名稱_所屬洲別="NA",ROW(名稱_所屬洲別),""),row(170:170))-1,0),"")</f>
        <v/>
      </c>
      <c r="C171" s="14" t="str">
        <f t="array" ref="C171">IFERROR(OFFSET('名稱對照'!E$1,SMALL(IF(名稱_所屬洲別="SA",ROW(名稱_所屬洲別),""),row(170:170))-1,0),"")</f>
        <v/>
      </c>
      <c r="D171" s="14" t="str">
        <f t="array" ref="D171">IFERROR(OFFSET('名稱對照'!E$1,SMALL(IF(名稱_所屬洲別="AF",ROW(名稱_所屬洲別),""),row(170:170))-1,0),"")</f>
        <v/>
      </c>
      <c r="E171" s="14" t="str">
        <f t="array" ref="E171">IFERROR(OFFSET('名稱對照'!E$1,SMALL(IF(名稱_所屬洲別="EU",ROW(名稱_所屬洲別),""),row(170:170))-1,0),"")</f>
        <v/>
      </c>
      <c r="F171" s="16" t="str">
        <f t="array" ref="F171">IFERROR(OFFSET('名稱對照'!E$1,SMALL(IF(名稱_所屬洲別="WA",ROW(名稱_所屬洲別),""),row(170:170))-1,0),"")</f>
        <v/>
      </c>
      <c r="G171" s="14" t="str">
        <f t="array" ref="G171">IFERROR(OFFSET('名稱對照'!E$1,SMALL(IF(名稱_所屬洲別="AP",ROW(名稱_所屬洲別),""),row(170:170))-1,0),"")</f>
        <v/>
      </c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4" t="str">
        <f t="array" ref="B172">IFERROR(OFFSET('名稱對照'!E$1,SMALL(IF(名稱_所屬洲別="NA",ROW(名稱_所屬洲別),""),row(171:171))-1,0),"")</f>
        <v/>
      </c>
      <c r="C172" s="14" t="str">
        <f t="array" ref="C172">IFERROR(OFFSET('名稱對照'!E$1,SMALL(IF(名稱_所屬洲別="SA",ROW(名稱_所屬洲別),""),row(171:171))-1,0),"")</f>
        <v/>
      </c>
      <c r="D172" s="14" t="str">
        <f t="array" ref="D172">IFERROR(OFFSET('名稱對照'!E$1,SMALL(IF(名稱_所屬洲別="AF",ROW(名稱_所屬洲別),""),row(171:171))-1,0),"")</f>
        <v/>
      </c>
      <c r="E172" s="14" t="str">
        <f t="array" ref="E172">IFERROR(OFFSET('名稱對照'!E$1,SMALL(IF(名稱_所屬洲別="EU",ROW(名稱_所屬洲別),""),row(171:171))-1,0),"")</f>
        <v/>
      </c>
      <c r="F172" s="16" t="str">
        <f t="array" ref="F172">IFERROR(OFFSET('名稱對照'!E$1,SMALL(IF(名稱_所屬洲別="WA",ROW(名稱_所屬洲別),""),row(171:171))-1,0),"")</f>
        <v/>
      </c>
      <c r="G172" s="14" t="str">
        <f t="array" ref="G172">IFERROR(OFFSET('名稱對照'!E$1,SMALL(IF(名稱_所屬洲別="AP",ROW(名稱_所屬洲別),""),row(171:171))-1,0),"")</f>
        <v/>
      </c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4" t="str">
        <f t="array" ref="B173">IFERROR(OFFSET('名稱對照'!E$1,SMALL(IF(名稱_所屬洲別="NA",ROW(名稱_所屬洲別),""),row(172:172))-1,0),"")</f>
        <v/>
      </c>
      <c r="C173" s="14" t="str">
        <f t="array" ref="C173">IFERROR(OFFSET('名稱對照'!E$1,SMALL(IF(名稱_所屬洲別="SA",ROW(名稱_所屬洲別),""),row(172:172))-1,0),"")</f>
        <v/>
      </c>
      <c r="D173" s="14" t="str">
        <f t="array" ref="D173">IFERROR(OFFSET('名稱對照'!E$1,SMALL(IF(名稱_所屬洲別="AF",ROW(名稱_所屬洲別),""),row(172:172))-1,0),"")</f>
        <v/>
      </c>
      <c r="E173" s="14" t="str">
        <f t="array" ref="E173">IFERROR(OFFSET('名稱對照'!E$1,SMALL(IF(名稱_所屬洲別="EU",ROW(名稱_所屬洲別),""),row(172:172))-1,0),"")</f>
        <v/>
      </c>
      <c r="F173" s="16" t="str">
        <f t="array" ref="F173">IFERROR(OFFSET('名稱對照'!E$1,SMALL(IF(名稱_所屬洲別="WA",ROW(名稱_所屬洲別),""),row(172:172))-1,0),"")</f>
        <v/>
      </c>
      <c r="G173" s="14" t="str">
        <f t="array" ref="G173">IFERROR(OFFSET('名稱對照'!E$1,SMALL(IF(名稱_所屬洲別="AP",ROW(名稱_所屬洲別),""),row(172:172))-1,0),"")</f>
        <v/>
      </c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4" t="str">
        <f t="array" ref="B174">IFERROR(OFFSET('名稱對照'!E$1,SMALL(IF(名稱_所屬洲別="NA",ROW(名稱_所屬洲別),""),row(173:173))-1,0),"")</f>
        <v/>
      </c>
      <c r="C174" s="14" t="str">
        <f t="array" ref="C174">IFERROR(OFFSET('名稱對照'!E$1,SMALL(IF(名稱_所屬洲別="SA",ROW(名稱_所屬洲別),""),row(173:173))-1,0),"")</f>
        <v/>
      </c>
      <c r="D174" s="14" t="str">
        <f t="array" ref="D174">IFERROR(OFFSET('名稱對照'!E$1,SMALL(IF(名稱_所屬洲別="AF",ROW(名稱_所屬洲別),""),row(173:173))-1,0),"")</f>
        <v/>
      </c>
      <c r="E174" s="14" t="str">
        <f t="array" ref="E174">IFERROR(OFFSET('名稱對照'!E$1,SMALL(IF(名稱_所屬洲別="EU",ROW(名稱_所屬洲別),""),row(173:173))-1,0),"")</f>
        <v/>
      </c>
      <c r="F174" s="16" t="str">
        <f t="array" ref="F174">IFERROR(OFFSET('名稱對照'!E$1,SMALL(IF(名稱_所屬洲別="WA",ROW(名稱_所屬洲別),""),row(173:173))-1,0),"")</f>
        <v/>
      </c>
      <c r="G174" s="14" t="str">
        <f t="array" ref="G174">IFERROR(OFFSET('名稱對照'!E$1,SMALL(IF(名稱_所屬洲別="AP",ROW(名稱_所屬洲別),""),row(173:173))-1,0),"")</f>
        <v/>
      </c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4" t="str">
        <f t="array" ref="B175">IFERROR(OFFSET('名稱對照'!E$1,SMALL(IF(名稱_所屬洲別="NA",ROW(名稱_所屬洲別),""),row(174:174))-1,0),"")</f>
        <v/>
      </c>
      <c r="C175" s="14" t="str">
        <f t="array" ref="C175">IFERROR(OFFSET('名稱對照'!E$1,SMALL(IF(名稱_所屬洲別="SA",ROW(名稱_所屬洲別),""),row(174:174))-1,0),"")</f>
        <v/>
      </c>
      <c r="D175" s="14" t="str">
        <f t="array" ref="D175">IFERROR(OFFSET('名稱對照'!E$1,SMALL(IF(名稱_所屬洲別="AF",ROW(名稱_所屬洲別),""),row(174:174))-1,0),"")</f>
        <v/>
      </c>
      <c r="E175" s="14" t="str">
        <f t="array" ref="E175">IFERROR(OFFSET('名稱對照'!E$1,SMALL(IF(名稱_所屬洲別="EU",ROW(名稱_所屬洲別),""),row(174:174))-1,0),"")</f>
        <v/>
      </c>
      <c r="F175" s="16" t="str">
        <f t="array" ref="F175">IFERROR(OFFSET('名稱對照'!E$1,SMALL(IF(名稱_所屬洲別="WA",ROW(名稱_所屬洲別),""),row(174:174))-1,0),"")</f>
        <v/>
      </c>
      <c r="G175" s="14" t="str">
        <f t="array" ref="G175">IFERROR(OFFSET('名稱對照'!E$1,SMALL(IF(名稱_所屬洲別="AP",ROW(名稱_所屬洲別),""),row(174:174))-1,0),"")</f>
        <v/>
      </c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4" t="str">
        <f t="array" ref="B176">IFERROR(OFFSET('名稱對照'!E$1,SMALL(IF(名稱_所屬洲別="NA",ROW(名稱_所屬洲別),""),row(175:175))-1,0),"")</f>
        <v/>
      </c>
      <c r="C176" s="14" t="str">
        <f t="array" ref="C176">IFERROR(OFFSET('名稱對照'!E$1,SMALL(IF(名稱_所屬洲別="SA",ROW(名稱_所屬洲別),""),row(175:175))-1,0),"")</f>
        <v/>
      </c>
      <c r="D176" s="14" t="str">
        <f t="array" ref="D176">IFERROR(OFFSET('名稱對照'!E$1,SMALL(IF(名稱_所屬洲別="AF",ROW(名稱_所屬洲別),""),row(175:175))-1,0),"")</f>
        <v/>
      </c>
      <c r="E176" s="14" t="str">
        <f t="array" ref="E176">IFERROR(OFFSET('名稱對照'!E$1,SMALL(IF(名稱_所屬洲別="EU",ROW(名稱_所屬洲別),""),row(175:175))-1,0),"")</f>
        <v/>
      </c>
      <c r="F176" s="16" t="str">
        <f t="array" ref="F176">IFERROR(OFFSET('名稱對照'!E$1,SMALL(IF(名稱_所屬洲別="WA",ROW(名稱_所屬洲別),""),row(175:175))-1,0),"")</f>
        <v/>
      </c>
      <c r="G176" s="14" t="str">
        <f t="array" ref="G176">IFERROR(OFFSET('名稱對照'!E$1,SMALL(IF(名稱_所屬洲別="AP",ROW(名稱_所屬洲別),""),row(175:175))-1,0),"")</f>
        <v/>
      </c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4" t="str">
        <f t="array" ref="B177">IFERROR(OFFSET('名稱對照'!E$1,SMALL(IF(名稱_所屬洲別="NA",ROW(名稱_所屬洲別),""),row(176:176))-1,0),"")</f>
        <v/>
      </c>
      <c r="C177" s="14" t="str">
        <f t="array" ref="C177">IFERROR(OFFSET('名稱對照'!E$1,SMALL(IF(名稱_所屬洲別="SA",ROW(名稱_所屬洲別),""),row(176:176))-1,0),"")</f>
        <v/>
      </c>
      <c r="D177" s="14" t="str">
        <f t="array" ref="D177">IFERROR(OFFSET('名稱對照'!E$1,SMALL(IF(名稱_所屬洲別="AF",ROW(名稱_所屬洲別),""),row(176:176))-1,0),"")</f>
        <v/>
      </c>
      <c r="E177" s="14" t="str">
        <f t="array" ref="E177">IFERROR(OFFSET('名稱對照'!E$1,SMALL(IF(名稱_所屬洲別="EU",ROW(名稱_所屬洲別),""),row(176:176))-1,0),"")</f>
        <v/>
      </c>
      <c r="F177" s="16" t="str">
        <f t="array" ref="F177">IFERROR(OFFSET('名稱對照'!E$1,SMALL(IF(名稱_所屬洲別="WA",ROW(名稱_所屬洲別),""),row(176:176))-1,0),"")</f>
        <v/>
      </c>
      <c r="G177" s="14" t="str">
        <f t="array" ref="G177">IFERROR(OFFSET('名稱對照'!E$1,SMALL(IF(名稱_所屬洲別="AP",ROW(名稱_所屬洲別),""),row(176:176))-1,0),"")</f>
        <v/>
      </c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4" t="str">
        <f t="array" ref="B178">IFERROR(OFFSET('名稱對照'!E$1,SMALL(IF(名稱_所屬洲別="NA",ROW(名稱_所屬洲別),""),row(177:177))-1,0),"")</f>
        <v/>
      </c>
      <c r="C178" s="14" t="str">
        <f t="array" ref="C178">IFERROR(OFFSET('名稱對照'!E$1,SMALL(IF(名稱_所屬洲別="SA",ROW(名稱_所屬洲別),""),row(177:177))-1,0),"")</f>
        <v/>
      </c>
      <c r="D178" s="14" t="str">
        <f t="array" ref="D178">IFERROR(OFFSET('名稱對照'!E$1,SMALL(IF(名稱_所屬洲別="AF",ROW(名稱_所屬洲別),""),row(177:177))-1,0),"")</f>
        <v/>
      </c>
      <c r="E178" s="14" t="str">
        <f t="array" ref="E178">IFERROR(OFFSET('名稱對照'!E$1,SMALL(IF(名稱_所屬洲別="EU",ROW(名稱_所屬洲別),""),row(177:177))-1,0),"")</f>
        <v/>
      </c>
      <c r="F178" s="16" t="str">
        <f t="array" ref="F178">IFERROR(OFFSET('名稱對照'!E$1,SMALL(IF(名稱_所屬洲別="WA",ROW(名稱_所屬洲別),""),row(177:177))-1,0),"")</f>
        <v/>
      </c>
      <c r="G178" s="14" t="str">
        <f t="array" ref="G178">IFERROR(OFFSET('名稱對照'!E$1,SMALL(IF(名稱_所屬洲別="AP",ROW(名稱_所屬洲別),""),row(177:177))-1,0),"")</f>
        <v/>
      </c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4" t="str">
        <f t="array" ref="B179">IFERROR(OFFSET('名稱對照'!E$1,SMALL(IF(名稱_所屬洲別="NA",ROW(名稱_所屬洲別),""),row(178:178))-1,0),"")</f>
        <v/>
      </c>
      <c r="C179" s="14" t="str">
        <f t="array" ref="C179">IFERROR(OFFSET('名稱對照'!E$1,SMALL(IF(名稱_所屬洲別="SA",ROW(名稱_所屬洲別),""),row(178:178))-1,0),"")</f>
        <v/>
      </c>
      <c r="D179" s="14" t="str">
        <f t="array" ref="D179">IFERROR(OFFSET('名稱對照'!E$1,SMALL(IF(名稱_所屬洲別="AF",ROW(名稱_所屬洲別),""),row(178:178))-1,0),"")</f>
        <v/>
      </c>
      <c r="E179" s="14" t="str">
        <f t="array" ref="E179">IFERROR(OFFSET('名稱對照'!E$1,SMALL(IF(名稱_所屬洲別="EU",ROW(名稱_所屬洲別),""),row(178:178))-1,0),"")</f>
        <v/>
      </c>
      <c r="F179" s="16" t="str">
        <f t="array" ref="F179">IFERROR(OFFSET('名稱對照'!E$1,SMALL(IF(名稱_所屬洲別="WA",ROW(名稱_所屬洲別),""),row(178:178))-1,0),"")</f>
        <v/>
      </c>
      <c r="G179" s="14" t="str">
        <f t="array" ref="G179">IFERROR(OFFSET('名稱對照'!E$1,SMALL(IF(名稱_所屬洲別="AP",ROW(名稱_所屬洲別),""),row(178:178))-1,0),"")</f>
        <v/>
      </c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4" t="str">
        <f t="array" ref="B180">IFERROR(OFFSET('名稱對照'!E$1,SMALL(IF(名稱_所屬洲別="NA",ROW(名稱_所屬洲別),""),row(179:179))-1,0),"")</f>
        <v/>
      </c>
      <c r="C180" s="14" t="str">
        <f t="array" ref="C180">IFERROR(OFFSET('名稱對照'!E$1,SMALL(IF(名稱_所屬洲別="SA",ROW(名稱_所屬洲別),""),row(179:179))-1,0),"")</f>
        <v/>
      </c>
      <c r="D180" s="14" t="str">
        <f t="array" ref="D180">IFERROR(OFFSET('名稱對照'!E$1,SMALL(IF(名稱_所屬洲別="AF",ROW(名稱_所屬洲別),""),row(179:179))-1,0),"")</f>
        <v/>
      </c>
      <c r="E180" s="14" t="str">
        <f t="array" ref="E180">IFERROR(OFFSET('名稱對照'!E$1,SMALL(IF(名稱_所屬洲別="EU",ROW(名稱_所屬洲別),""),row(179:179))-1,0),"")</f>
        <v/>
      </c>
      <c r="F180" s="16" t="str">
        <f t="array" ref="F180">IFERROR(OFFSET('名稱對照'!E$1,SMALL(IF(名稱_所屬洲別="WA",ROW(名稱_所屬洲別),""),row(179:179))-1,0),"")</f>
        <v/>
      </c>
      <c r="G180" s="14" t="str">
        <f t="array" ref="G180">IFERROR(OFFSET('名稱對照'!E$1,SMALL(IF(名稱_所屬洲別="AP",ROW(名稱_所屬洲別),""),row(179:179))-1,0),"")</f>
        <v/>
      </c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4" t="str">
        <f t="array" ref="B181">IFERROR(OFFSET('名稱對照'!E$1,SMALL(IF(名稱_所屬洲別="NA",ROW(名稱_所屬洲別),""),row(180:180))-1,0),"")</f>
        <v/>
      </c>
      <c r="C181" s="14" t="str">
        <f t="array" ref="C181">IFERROR(OFFSET('名稱對照'!E$1,SMALL(IF(名稱_所屬洲別="SA",ROW(名稱_所屬洲別),""),row(180:180))-1,0),"")</f>
        <v/>
      </c>
      <c r="D181" s="14" t="str">
        <f t="array" ref="D181">IFERROR(OFFSET('名稱對照'!E$1,SMALL(IF(名稱_所屬洲別="AF",ROW(名稱_所屬洲別),""),row(180:180))-1,0),"")</f>
        <v/>
      </c>
      <c r="E181" s="14" t="str">
        <f t="array" ref="E181">IFERROR(OFFSET('名稱對照'!E$1,SMALL(IF(名稱_所屬洲別="EU",ROW(名稱_所屬洲別),""),row(180:180))-1,0),"")</f>
        <v/>
      </c>
      <c r="F181" s="16" t="str">
        <f t="array" ref="F181">IFERROR(OFFSET('名稱對照'!E$1,SMALL(IF(名稱_所屬洲別="WA",ROW(名稱_所屬洲別),""),row(180:180))-1,0),"")</f>
        <v/>
      </c>
      <c r="G181" s="14" t="str">
        <f t="array" ref="G181">IFERROR(OFFSET('名稱對照'!E$1,SMALL(IF(名稱_所屬洲別="AP",ROW(名稱_所屬洲別),""),row(180:180))-1,0),"")</f>
        <v/>
      </c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4" t="str">
        <f t="array" ref="B182">IFERROR(OFFSET('名稱對照'!E$1,SMALL(IF(名稱_所屬洲別="NA",ROW(名稱_所屬洲別),""),row(181:181))-1,0),"")</f>
        <v/>
      </c>
      <c r="C182" s="14" t="str">
        <f t="array" ref="C182">IFERROR(OFFSET('名稱對照'!E$1,SMALL(IF(名稱_所屬洲別="SA",ROW(名稱_所屬洲別),""),row(181:181))-1,0),"")</f>
        <v/>
      </c>
      <c r="D182" s="14" t="str">
        <f t="array" ref="D182">IFERROR(OFFSET('名稱對照'!E$1,SMALL(IF(名稱_所屬洲別="AF",ROW(名稱_所屬洲別),""),row(181:181))-1,0),"")</f>
        <v/>
      </c>
      <c r="E182" s="14" t="str">
        <f t="array" ref="E182">IFERROR(OFFSET('名稱對照'!E$1,SMALL(IF(名稱_所屬洲別="EU",ROW(名稱_所屬洲別),""),row(181:181))-1,0),"")</f>
        <v/>
      </c>
      <c r="F182" s="16" t="str">
        <f t="array" ref="F182">IFERROR(OFFSET('名稱對照'!E$1,SMALL(IF(名稱_所屬洲別="WA",ROW(名稱_所屬洲別),""),row(181:181))-1,0),"")</f>
        <v/>
      </c>
      <c r="G182" s="14" t="str">
        <f t="array" ref="G182">IFERROR(OFFSET('名稱對照'!E$1,SMALL(IF(名稱_所屬洲別="AP",ROW(名稱_所屬洲別),""),row(181:181))-1,0),"")</f>
        <v/>
      </c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4" t="str">
        <f t="array" ref="B183">IFERROR(OFFSET('名稱對照'!E$1,SMALL(IF(名稱_所屬洲別="NA",ROW(名稱_所屬洲別),""),row(182:182))-1,0),"")</f>
        <v/>
      </c>
      <c r="C183" s="14" t="str">
        <f t="array" ref="C183">IFERROR(OFFSET('名稱對照'!E$1,SMALL(IF(名稱_所屬洲別="SA",ROW(名稱_所屬洲別),""),row(182:182))-1,0),"")</f>
        <v/>
      </c>
      <c r="D183" s="14" t="str">
        <f t="array" ref="D183">IFERROR(OFFSET('名稱對照'!E$1,SMALL(IF(名稱_所屬洲別="AF",ROW(名稱_所屬洲別),""),row(182:182))-1,0),"")</f>
        <v/>
      </c>
      <c r="E183" s="14" t="str">
        <f t="array" ref="E183">IFERROR(OFFSET('名稱對照'!E$1,SMALL(IF(名稱_所屬洲別="EU",ROW(名稱_所屬洲別),""),row(182:182))-1,0),"")</f>
        <v/>
      </c>
      <c r="F183" s="16" t="str">
        <f t="array" ref="F183">IFERROR(OFFSET('名稱對照'!E$1,SMALL(IF(名稱_所屬洲別="WA",ROW(名稱_所屬洲別),""),row(182:182))-1,0),"")</f>
        <v/>
      </c>
      <c r="G183" s="14" t="str">
        <f t="array" ref="G183">IFERROR(OFFSET('名稱對照'!E$1,SMALL(IF(名稱_所屬洲別="AP",ROW(名稱_所屬洲別),""),row(182:182))-1,0),"")</f>
        <v/>
      </c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4" t="str">
        <f t="array" ref="B184">IFERROR(OFFSET('名稱對照'!E$1,SMALL(IF(名稱_所屬洲別="NA",ROW(名稱_所屬洲別),""),row(183:183))-1,0),"")</f>
        <v/>
      </c>
      <c r="C184" s="14" t="str">
        <f t="array" ref="C184">IFERROR(OFFSET('名稱對照'!E$1,SMALL(IF(名稱_所屬洲別="SA",ROW(名稱_所屬洲別),""),row(183:183))-1,0),"")</f>
        <v/>
      </c>
      <c r="D184" s="14" t="str">
        <f t="array" ref="D184">IFERROR(OFFSET('名稱對照'!E$1,SMALL(IF(名稱_所屬洲別="AF",ROW(名稱_所屬洲別),""),row(183:183))-1,0),"")</f>
        <v/>
      </c>
      <c r="E184" s="14" t="str">
        <f t="array" ref="E184">IFERROR(OFFSET('名稱對照'!E$1,SMALL(IF(名稱_所屬洲別="EU",ROW(名稱_所屬洲別),""),row(183:183))-1,0),"")</f>
        <v/>
      </c>
      <c r="F184" s="16" t="str">
        <f t="array" ref="F184">IFERROR(OFFSET('名稱對照'!E$1,SMALL(IF(名稱_所屬洲別="WA",ROW(名稱_所屬洲別),""),row(183:183))-1,0),"")</f>
        <v/>
      </c>
      <c r="G184" s="14" t="str">
        <f t="array" ref="G184">IFERROR(OFFSET('名稱對照'!E$1,SMALL(IF(名稱_所屬洲別="AP",ROW(名稱_所屬洲別),""),row(183:183))-1,0),"")</f>
        <v/>
      </c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4" t="str">
        <f t="array" ref="B185">IFERROR(OFFSET('名稱對照'!E$1,SMALL(IF(名稱_所屬洲別="NA",ROW(名稱_所屬洲別),""),row(184:184))-1,0),"")</f>
        <v/>
      </c>
      <c r="C185" s="14" t="str">
        <f t="array" ref="C185">IFERROR(OFFSET('名稱對照'!E$1,SMALL(IF(名稱_所屬洲別="SA",ROW(名稱_所屬洲別),""),row(184:184))-1,0),"")</f>
        <v/>
      </c>
      <c r="D185" s="14" t="str">
        <f t="array" ref="D185">IFERROR(OFFSET('名稱對照'!E$1,SMALL(IF(名稱_所屬洲別="AF",ROW(名稱_所屬洲別),""),row(184:184))-1,0),"")</f>
        <v/>
      </c>
      <c r="E185" s="14" t="str">
        <f t="array" ref="E185">IFERROR(OFFSET('名稱對照'!E$1,SMALL(IF(名稱_所屬洲別="EU",ROW(名稱_所屬洲別),""),row(184:184))-1,0),"")</f>
        <v/>
      </c>
      <c r="F185" s="16" t="str">
        <f t="array" ref="F185">IFERROR(OFFSET('名稱對照'!E$1,SMALL(IF(名稱_所屬洲別="WA",ROW(名稱_所屬洲別),""),row(184:184))-1,0),"")</f>
        <v/>
      </c>
      <c r="G185" s="14" t="str">
        <f t="array" ref="G185">IFERROR(OFFSET('名稱對照'!E$1,SMALL(IF(名稱_所屬洲別="AP",ROW(名稱_所屬洲別),""),row(184:184))-1,0),"")</f>
        <v/>
      </c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4" t="str">
        <f t="array" ref="B186">IFERROR(OFFSET('名稱對照'!E$1,SMALL(IF(名稱_所屬洲別="NA",ROW(名稱_所屬洲別),""),row(185:185))-1,0),"")</f>
        <v/>
      </c>
      <c r="C186" s="14" t="str">
        <f t="array" ref="C186">IFERROR(OFFSET('名稱對照'!E$1,SMALL(IF(名稱_所屬洲別="SA",ROW(名稱_所屬洲別),""),row(185:185))-1,0),"")</f>
        <v/>
      </c>
      <c r="D186" s="14" t="str">
        <f t="array" ref="D186">IFERROR(OFFSET('名稱對照'!E$1,SMALL(IF(名稱_所屬洲別="AF",ROW(名稱_所屬洲別),""),row(185:185))-1,0),"")</f>
        <v/>
      </c>
      <c r="E186" s="14" t="str">
        <f t="array" ref="E186">IFERROR(OFFSET('名稱對照'!E$1,SMALL(IF(名稱_所屬洲別="EU",ROW(名稱_所屬洲別),""),row(185:185))-1,0),"")</f>
        <v/>
      </c>
      <c r="F186" s="16" t="str">
        <f t="array" ref="F186">IFERROR(OFFSET('名稱對照'!E$1,SMALL(IF(名稱_所屬洲別="WA",ROW(名稱_所屬洲別),""),row(185:185))-1,0),"")</f>
        <v/>
      </c>
      <c r="G186" s="14" t="str">
        <f t="array" ref="G186">IFERROR(OFFSET('名稱對照'!E$1,SMALL(IF(名稱_所屬洲別="AP",ROW(名稱_所屬洲別),""),row(185:185))-1,0),"")</f>
        <v/>
      </c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4" t="str">
        <f t="array" ref="B187">IFERROR(OFFSET('名稱對照'!E$1,SMALL(IF(名稱_所屬洲別="NA",ROW(名稱_所屬洲別),""),row(186:186))-1,0),"")</f>
        <v/>
      </c>
      <c r="C187" s="14" t="str">
        <f t="array" ref="C187">IFERROR(OFFSET('名稱對照'!E$1,SMALL(IF(名稱_所屬洲別="SA",ROW(名稱_所屬洲別),""),row(186:186))-1,0),"")</f>
        <v/>
      </c>
      <c r="D187" s="14" t="str">
        <f t="array" ref="D187">IFERROR(OFFSET('名稱對照'!E$1,SMALL(IF(名稱_所屬洲別="AF",ROW(名稱_所屬洲別),""),row(186:186))-1,0),"")</f>
        <v/>
      </c>
      <c r="E187" s="14" t="str">
        <f t="array" ref="E187">IFERROR(OFFSET('名稱對照'!E$1,SMALL(IF(名稱_所屬洲別="EU",ROW(名稱_所屬洲別),""),row(186:186))-1,0),"")</f>
        <v/>
      </c>
      <c r="F187" s="16" t="str">
        <f t="array" ref="F187">IFERROR(OFFSET('名稱對照'!E$1,SMALL(IF(名稱_所屬洲別="WA",ROW(名稱_所屬洲別),""),row(186:186))-1,0),"")</f>
        <v/>
      </c>
      <c r="G187" s="14" t="str">
        <f t="array" ref="G187">IFERROR(OFFSET('名稱對照'!E$1,SMALL(IF(名稱_所屬洲別="AP",ROW(名稱_所屬洲別),""),row(186:186))-1,0),"")</f>
        <v/>
      </c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4" t="str">
        <f t="array" ref="B188">IFERROR(OFFSET('名稱對照'!E$1,SMALL(IF(名稱_所屬洲別="NA",ROW(名稱_所屬洲別),""),row(187:187))-1,0),"")</f>
        <v/>
      </c>
      <c r="C188" s="14" t="str">
        <f t="array" ref="C188">IFERROR(OFFSET('名稱對照'!E$1,SMALL(IF(名稱_所屬洲別="SA",ROW(名稱_所屬洲別),""),row(187:187))-1,0),"")</f>
        <v/>
      </c>
      <c r="D188" s="14" t="str">
        <f t="array" ref="D188">IFERROR(OFFSET('名稱對照'!E$1,SMALL(IF(名稱_所屬洲別="AF",ROW(名稱_所屬洲別),""),row(187:187))-1,0),"")</f>
        <v/>
      </c>
      <c r="E188" s="14" t="str">
        <f t="array" ref="E188">IFERROR(OFFSET('名稱對照'!E$1,SMALL(IF(名稱_所屬洲別="EU",ROW(名稱_所屬洲別),""),row(187:187))-1,0),"")</f>
        <v/>
      </c>
      <c r="F188" s="16" t="str">
        <f t="array" ref="F188">IFERROR(OFFSET('名稱對照'!E$1,SMALL(IF(名稱_所屬洲別="WA",ROW(名稱_所屬洲別),""),row(187:187))-1,0),"")</f>
        <v/>
      </c>
      <c r="G188" s="14" t="str">
        <f t="array" ref="G188">IFERROR(OFFSET('名稱對照'!E$1,SMALL(IF(名稱_所屬洲別="AP",ROW(名稱_所屬洲別),""),row(187:187))-1,0),"")</f>
        <v/>
      </c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4" t="str">
        <f t="array" ref="B189">IFERROR(OFFSET('名稱對照'!E$1,SMALL(IF(名稱_所屬洲別="NA",ROW(名稱_所屬洲別),""),row(188:188))-1,0),"")</f>
        <v/>
      </c>
      <c r="C189" s="14" t="str">
        <f t="array" ref="C189">IFERROR(OFFSET('名稱對照'!E$1,SMALL(IF(名稱_所屬洲別="SA",ROW(名稱_所屬洲別),""),row(188:188))-1,0),"")</f>
        <v/>
      </c>
      <c r="D189" s="14" t="str">
        <f t="array" ref="D189">IFERROR(OFFSET('名稱對照'!E$1,SMALL(IF(名稱_所屬洲別="AF",ROW(名稱_所屬洲別),""),row(188:188))-1,0),"")</f>
        <v/>
      </c>
      <c r="E189" s="14" t="str">
        <f t="array" ref="E189">IFERROR(OFFSET('名稱對照'!E$1,SMALL(IF(名稱_所屬洲別="EU",ROW(名稱_所屬洲別),""),row(188:188))-1,0),"")</f>
        <v/>
      </c>
      <c r="F189" s="16" t="str">
        <f t="array" ref="F189">IFERROR(OFFSET('名稱對照'!E$1,SMALL(IF(名稱_所屬洲別="WA",ROW(名稱_所屬洲別),""),row(188:188))-1,0),"")</f>
        <v/>
      </c>
      <c r="G189" s="14" t="str">
        <f t="array" ref="G189">IFERROR(OFFSET('名稱對照'!E$1,SMALL(IF(名稱_所屬洲別="AP",ROW(名稱_所屬洲別),""),row(188:188))-1,0),"")</f>
        <v/>
      </c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4" t="str">
        <f t="array" ref="B190">IFERROR(OFFSET('名稱對照'!E$1,SMALL(IF(名稱_所屬洲別="NA",ROW(名稱_所屬洲別),""),row(189:189))-1,0),"")</f>
        <v/>
      </c>
      <c r="C190" s="14" t="str">
        <f t="array" ref="C190">IFERROR(OFFSET('名稱對照'!E$1,SMALL(IF(名稱_所屬洲別="SA",ROW(名稱_所屬洲別),""),row(189:189))-1,0),"")</f>
        <v/>
      </c>
      <c r="D190" s="14" t="str">
        <f t="array" ref="D190">IFERROR(OFFSET('名稱對照'!E$1,SMALL(IF(名稱_所屬洲別="AF",ROW(名稱_所屬洲別),""),row(189:189))-1,0),"")</f>
        <v/>
      </c>
      <c r="E190" s="14" t="str">
        <f t="array" ref="E190">IFERROR(OFFSET('名稱對照'!E$1,SMALL(IF(名稱_所屬洲別="EU",ROW(名稱_所屬洲別),""),row(189:189))-1,0),"")</f>
        <v/>
      </c>
      <c r="F190" s="16" t="str">
        <f t="array" ref="F190">IFERROR(OFFSET('名稱對照'!E$1,SMALL(IF(名稱_所屬洲別="WA",ROW(名稱_所屬洲別),""),row(189:189))-1,0),"")</f>
        <v/>
      </c>
      <c r="G190" s="14" t="str">
        <f t="array" ref="G190">IFERROR(OFFSET('名稱對照'!E$1,SMALL(IF(名稱_所屬洲別="AP",ROW(名稱_所屬洲別),""),row(189:189))-1,0),"")</f>
        <v/>
      </c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4" t="str">
        <f t="array" ref="B191">IFERROR(OFFSET('名稱對照'!E$1,SMALL(IF(名稱_所屬洲別="NA",ROW(名稱_所屬洲別),""),row(190:190))-1,0),"")</f>
        <v/>
      </c>
      <c r="C191" s="14" t="str">
        <f t="array" ref="C191">IFERROR(OFFSET('名稱對照'!E$1,SMALL(IF(名稱_所屬洲別="SA",ROW(名稱_所屬洲別),""),row(190:190))-1,0),"")</f>
        <v/>
      </c>
      <c r="D191" s="14" t="str">
        <f t="array" ref="D191">IFERROR(OFFSET('名稱對照'!E$1,SMALL(IF(名稱_所屬洲別="AF",ROW(名稱_所屬洲別),""),row(190:190))-1,0),"")</f>
        <v/>
      </c>
      <c r="E191" s="14" t="str">
        <f t="array" ref="E191">IFERROR(OFFSET('名稱對照'!E$1,SMALL(IF(名稱_所屬洲別="EU",ROW(名稱_所屬洲別),""),row(190:190))-1,0),"")</f>
        <v/>
      </c>
      <c r="F191" s="16" t="str">
        <f t="array" ref="F191">IFERROR(OFFSET('名稱對照'!E$1,SMALL(IF(名稱_所屬洲別="WA",ROW(名稱_所屬洲別),""),row(190:190))-1,0),"")</f>
        <v/>
      </c>
      <c r="G191" s="14" t="str">
        <f t="array" ref="G191">IFERROR(OFFSET('名稱對照'!E$1,SMALL(IF(名稱_所屬洲別="AP",ROW(名稱_所屬洲別),""),row(190:190))-1,0),"")</f>
        <v/>
      </c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4" t="str">
        <f t="array" ref="B192">IFERROR(OFFSET('名稱對照'!E$1,SMALL(IF(名稱_所屬洲別="NA",ROW(名稱_所屬洲別),""),row(191:191))-1,0),"")</f>
        <v/>
      </c>
      <c r="C192" s="14" t="str">
        <f t="array" ref="C192">IFERROR(OFFSET('名稱對照'!E$1,SMALL(IF(名稱_所屬洲別="SA",ROW(名稱_所屬洲別),""),row(191:191))-1,0),"")</f>
        <v/>
      </c>
      <c r="D192" s="14" t="str">
        <f t="array" ref="D192">IFERROR(OFFSET('名稱對照'!E$1,SMALL(IF(名稱_所屬洲別="AF",ROW(名稱_所屬洲別),""),row(191:191))-1,0),"")</f>
        <v/>
      </c>
      <c r="E192" s="14" t="str">
        <f t="array" ref="E192">IFERROR(OFFSET('名稱對照'!E$1,SMALL(IF(名稱_所屬洲別="EU",ROW(名稱_所屬洲別),""),row(191:191))-1,0),"")</f>
        <v/>
      </c>
      <c r="F192" s="16" t="str">
        <f t="array" ref="F192">IFERROR(OFFSET('名稱對照'!E$1,SMALL(IF(名稱_所屬洲別="WA",ROW(名稱_所屬洲別),""),row(191:191))-1,0),"")</f>
        <v/>
      </c>
      <c r="G192" s="14" t="str">
        <f t="array" ref="G192">IFERROR(OFFSET('名稱對照'!E$1,SMALL(IF(名稱_所屬洲別="AP",ROW(名稱_所屬洲別),""),row(191:191))-1,0),"")</f>
        <v/>
      </c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4" t="str">
        <f t="array" ref="B193">IFERROR(OFFSET('名稱對照'!E$1,SMALL(IF(名稱_所屬洲別="NA",ROW(名稱_所屬洲別),""),row(192:192))-1,0),"")</f>
        <v/>
      </c>
      <c r="C193" s="14" t="str">
        <f t="array" ref="C193">IFERROR(OFFSET('名稱對照'!E$1,SMALL(IF(名稱_所屬洲別="SA",ROW(名稱_所屬洲別),""),row(192:192))-1,0),"")</f>
        <v/>
      </c>
      <c r="D193" s="14" t="str">
        <f t="array" ref="D193">IFERROR(OFFSET('名稱對照'!E$1,SMALL(IF(名稱_所屬洲別="AF",ROW(名稱_所屬洲別),""),row(192:192))-1,0),"")</f>
        <v/>
      </c>
      <c r="E193" s="14" t="str">
        <f t="array" ref="E193">IFERROR(OFFSET('名稱對照'!E$1,SMALL(IF(名稱_所屬洲別="EU",ROW(名稱_所屬洲別),""),row(192:192))-1,0),"")</f>
        <v/>
      </c>
      <c r="F193" s="16" t="str">
        <f t="array" ref="F193">IFERROR(OFFSET('名稱對照'!E$1,SMALL(IF(名稱_所屬洲別="WA",ROW(名稱_所屬洲別),""),row(192:192))-1,0),"")</f>
        <v/>
      </c>
      <c r="G193" s="14" t="str">
        <f t="array" ref="G193">IFERROR(OFFSET('名稱對照'!E$1,SMALL(IF(名稱_所屬洲別="AP",ROW(名稱_所屬洲別),""),row(192:192))-1,0),"")</f>
        <v/>
      </c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4" t="str">
        <f t="array" ref="B194">IFERROR(OFFSET('名稱對照'!E$1,SMALL(IF(名稱_所屬洲別="NA",ROW(名稱_所屬洲別),""),row(193:193))-1,0),"")</f>
        <v/>
      </c>
      <c r="C194" s="14" t="str">
        <f t="array" ref="C194">IFERROR(OFFSET('名稱對照'!E$1,SMALL(IF(名稱_所屬洲別="SA",ROW(名稱_所屬洲別),""),row(193:193))-1,0),"")</f>
        <v/>
      </c>
      <c r="D194" s="14" t="str">
        <f t="array" ref="D194">IFERROR(OFFSET('名稱對照'!E$1,SMALL(IF(名稱_所屬洲別="AF",ROW(名稱_所屬洲別),""),row(193:193))-1,0),"")</f>
        <v/>
      </c>
      <c r="E194" s="14" t="str">
        <f t="array" ref="E194">IFERROR(OFFSET('名稱對照'!E$1,SMALL(IF(名稱_所屬洲別="EU",ROW(名稱_所屬洲別),""),row(193:193))-1,0),"")</f>
        <v/>
      </c>
      <c r="F194" s="16" t="str">
        <f t="array" ref="F194">IFERROR(OFFSET('名稱對照'!E$1,SMALL(IF(名稱_所屬洲別="WA",ROW(名稱_所屬洲別),""),row(193:193))-1,0),"")</f>
        <v/>
      </c>
      <c r="G194" s="14" t="str">
        <f t="array" ref="G194">IFERROR(OFFSET('名稱對照'!E$1,SMALL(IF(名稱_所屬洲別="AP",ROW(名稱_所屬洲別),""),row(193:193))-1,0),"")</f>
        <v/>
      </c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4" t="str">
        <f t="array" ref="B195">IFERROR(OFFSET('名稱對照'!E$1,SMALL(IF(名稱_所屬洲別="NA",ROW(名稱_所屬洲別),""),row(194:194))-1,0),"")</f>
        <v/>
      </c>
      <c r="C195" s="14" t="str">
        <f t="array" ref="C195">IFERROR(OFFSET('名稱對照'!E$1,SMALL(IF(名稱_所屬洲別="SA",ROW(名稱_所屬洲別),""),row(194:194))-1,0),"")</f>
        <v/>
      </c>
      <c r="D195" s="14" t="str">
        <f t="array" ref="D195">IFERROR(OFFSET('名稱對照'!E$1,SMALL(IF(名稱_所屬洲別="AF",ROW(名稱_所屬洲別),""),row(194:194))-1,0),"")</f>
        <v/>
      </c>
      <c r="E195" s="14" t="str">
        <f t="array" ref="E195">IFERROR(OFFSET('名稱對照'!E$1,SMALL(IF(名稱_所屬洲別="EU",ROW(名稱_所屬洲別),""),row(194:194))-1,0),"")</f>
        <v/>
      </c>
      <c r="F195" s="16" t="str">
        <f t="array" ref="F195">IFERROR(OFFSET('名稱對照'!E$1,SMALL(IF(名稱_所屬洲別="WA",ROW(名稱_所屬洲別),""),row(194:194))-1,0),"")</f>
        <v/>
      </c>
      <c r="G195" s="14" t="str">
        <f t="array" ref="G195">IFERROR(OFFSET('名稱對照'!E$1,SMALL(IF(名稱_所屬洲別="AP",ROW(名稱_所屬洲別),""),row(194:194))-1,0),"")</f>
        <v/>
      </c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4" t="str">
        <f t="array" ref="B196">IFERROR(OFFSET('名稱對照'!E$1,SMALL(IF(名稱_所屬洲別="NA",ROW(名稱_所屬洲別),""),row(195:195))-1,0),"")</f>
        <v/>
      </c>
      <c r="C196" s="14" t="str">
        <f t="array" ref="C196">IFERROR(OFFSET('名稱對照'!E$1,SMALL(IF(名稱_所屬洲別="SA",ROW(名稱_所屬洲別),""),row(195:195))-1,0),"")</f>
        <v/>
      </c>
      <c r="D196" s="14" t="str">
        <f t="array" ref="D196">IFERROR(OFFSET('名稱對照'!E$1,SMALL(IF(名稱_所屬洲別="AF",ROW(名稱_所屬洲別),""),row(195:195))-1,0),"")</f>
        <v/>
      </c>
      <c r="E196" s="14" t="str">
        <f t="array" ref="E196">IFERROR(OFFSET('名稱對照'!E$1,SMALL(IF(名稱_所屬洲別="EU",ROW(名稱_所屬洲別),""),row(195:195))-1,0),"")</f>
        <v/>
      </c>
      <c r="F196" s="16" t="str">
        <f t="array" ref="F196">IFERROR(OFFSET('名稱對照'!E$1,SMALL(IF(名稱_所屬洲別="WA",ROW(名稱_所屬洲別),""),row(195:195))-1,0),"")</f>
        <v/>
      </c>
      <c r="G196" s="14" t="str">
        <f t="array" ref="G196">IFERROR(OFFSET('名稱對照'!E$1,SMALL(IF(名稱_所屬洲別="AP",ROW(名稱_所屬洲別),""),row(195:195))-1,0),"")</f>
        <v/>
      </c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4" t="str">
        <f t="array" ref="B197">IFERROR(OFFSET('名稱對照'!E$1,SMALL(IF(名稱_所屬洲別="NA",ROW(名稱_所屬洲別),""),row(196:196))-1,0),"")</f>
        <v/>
      </c>
      <c r="C197" s="14" t="str">
        <f t="array" ref="C197">IFERROR(OFFSET('名稱對照'!E$1,SMALL(IF(名稱_所屬洲別="SA",ROW(名稱_所屬洲別),""),row(196:196))-1,0),"")</f>
        <v/>
      </c>
      <c r="D197" s="14" t="str">
        <f t="array" ref="D197">IFERROR(OFFSET('名稱對照'!E$1,SMALL(IF(名稱_所屬洲別="AF",ROW(名稱_所屬洲別),""),row(196:196))-1,0),"")</f>
        <v/>
      </c>
      <c r="E197" s="14" t="str">
        <f t="array" ref="E197">IFERROR(OFFSET('名稱對照'!E$1,SMALL(IF(名稱_所屬洲別="EU",ROW(名稱_所屬洲別),""),row(196:196))-1,0),"")</f>
        <v/>
      </c>
      <c r="F197" s="16" t="str">
        <f t="array" ref="F197">IFERROR(OFFSET('名稱對照'!E$1,SMALL(IF(名稱_所屬洲別="WA",ROW(名稱_所屬洲別),""),row(196:196))-1,0),"")</f>
        <v/>
      </c>
      <c r="G197" s="14" t="str">
        <f t="array" ref="G197">IFERROR(OFFSET('名稱對照'!E$1,SMALL(IF(名稱_所屬洲別="AP",ROW(名稱_所屬洲別),""),row(196:196))-1,0),"")</f>
        <v/>
      </c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4" t="str">
        <f t="array" ref="B198">IFERROR(OFFSET('名稱對照'!E$1,SMALL(IF(名稱_所屬洲別="NA",ROW(名稱_所屬洲別),""),row(197:197))-1,0),"")</f>
        <v/>
      </c>
      <c r="C198" s="14" t="str">
        <f t="array" ref="C198">IFERROR(OFFSET('名稱對照'!E$1,SMALL(IF(名稱_所屬洲別="SA",ROW(名稱_所屬洲別),""),row(197:197))-1,0),"")</f>
        <v/>
      </c>
      <c r="D198" s="14" t="str">
        <f t="array" ref="D198">IFERROR(OFFSET('名稱對照'!E$1,SMALL(IF(名稱_所屬洲別="AF",ROW(名稱_所屬洲別),""),row(197:197))-1,0),"")</f>
        <v/>
      </c>
      <c r="E198" s="14" t="str">
        <f t="array" ref="E198">IFERROR(OFFSET('名稱對照'!E$1,SMALL(IF(名稱_所屬洲別="EU",ROW(名稱_所屬洲別),""),row(197:197))-1,0),"")</f>
        <v/>
      </c>
      <c r="F198" s="16" t="str">
        <f t="array" ref="F198">IFERROR(OFFSET('名稱對照'!E$1,SMALL(IF(名稱_所屬洲別="WA",ROW(名稱_所屬洲別),""),row(197:197))-1,0),"")</f>
        <v/>
      </c>
      <c r="G198" s="14" t="str">
        <f t="array" ref="G198">IFERROR(OFFSET('名稱對照'!E$1,SMALL(IF(名稱_所屬洲別="AP",ROW(名稱_所屬洲別),""),row(197:197))-1,0),"")</f>
        <v/>
      </c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4" t="str">
        <f t="array" ref="B199">IFERROR(OFFSET('名稱對照'!E$1,SMALL(IF(名稱_所屬洲別="NA",ROW(名稱_所屬洲別),""),row(198:198))-1,0),"")</f>
        <v/>
      </c>
      <c r="C199" s="14" t="str">
        <f t="array" ref="C199">IFERROR(OFFSET('名稱對照'!E$1,SMALL(IF(名稱_所屬洲別="SA",ROW(名稱_所屬洲別),""),row(198:198))-1,0),"")</f>
        <v/>
      </c>
      <c r="D199" s="14" t="str">
        <f t="array" ref="D199">IFERROR(OFFSET('名稱對照'!E$1,SMALL(IF(名稱_所屬洲別="AF",ROW(名稱_所屬洲別),""),row(198:198))-1,0),"")</f>
        <v/>
      </c>
      <c r="E199" s="14" t="str">
        <f t="array" ref="E199">IFERROR(OFFSET('名稱對照'!E$1,SMALL(IF(名稱_所屬洲別="EU",ROW(名稱_所屬洲別),""),row(198:198))-1,0),"")</f>
        <v/>
      </c>
      <c r="F199" s="16" t="str">
        <f t="array" ref="F199">IFERROR(OFFSET('名稱對照'!E$1,SMALL(IF(名稱_所屬洲別="WA",ROW(名稱_所屬洲別),""),row(198:198))-1,0),"")</f>
        <v/>
      </c>
      <c r="G199" s="14" t="str">
        <f t="array" ref="G199">IFERROR(OFFSET('名稱對照'!E$1,SMALL(IF(名稱_所屬洲別="AP",ROW(名稱_所屬洲別),""),row(198:198))-1,0),"")</f>
        <v/>
      </c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4" t="str">
        <f t="array" ref="B200">IFERROR(OFFSET('名稱對照'!E$1,SMALL(IF(名稱_所屬洲別="NA",ROW(名稱_所屬洲別),""),row(199:199))-1,0),"")</f>
        <v/>
      </c>
      <c r="C200" s="14" t="str">
        <f t="array" ref="C200">IFERROR(OFFSET('名稱對照'!E$1,SMALL(IF(名稱_所屬洲別="SA",ROW(名稱_所屬洲別),""),row(199:199))-1,0),"")</f>
        <v/>
      </c>
      <c r="D200" s="14" t="str">
        <f t="array" ref="D200">IFERROR(OFFSET('名稱對照'!E$1,SMALL(IF(名稱_所屬洲別="AF",ROW(名稱_所屬洲別),""),row(199:199))-1,0),"")</f>
        <v/>
      </c>
      <c r="E200" s="14" t="str">
        <f t="array" ref="E200">IFERROR(OFFSET('名稱對照'!E$1,SMALL(IF(名稱_所屬洲別="EU",ROW(名稱_所屬洲別),""),row(199:199))-1,0),"")</f>
        <v/>
      </c>
      <c r="F200" s="16" t="str">
        <f t="array" ref="F200">IFERROR(OFFSET('名稱對照'!E$1,SMALL(IF(名稱_所屬洲別="WA",ROW(名稱_所屬洲別),""),row(199:199))-1,0),"")</f>
        <v/>
      </c>
      <c r="G200" s="14" t="str">
        <f t="array" ref="G200">IFERROR(OFFSET('名稱對照'!E$1,SMALL(IF(名稱_所屬洲別="AP",ROW(名稱_所屬洲別),""),row(199:199))-1,0),"")</f>
        <v/>
      </c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4" t="str">
        <f t="array" ref="B201">IFERROR(OFFSET('名稱對照'!E$1,SMALL(IF(名稱_所屬洲別="NA",ROW(名稱_所屬洲別),""),row(200:200))-1,0),"")</f>
        <v/>
      </c>
      <c r="C201" s="14" t="str">
        <f t="array" ref="C201">IFERROR(OFFSET('名稱對照'!E$1,SMALL(IF(名稱_所屬洲別="SA",ROW(名稱_所屬洲別),""),row(200:200))-1,0),"")</f>
        <v/>
      </c>
      <c r="D201" s="14" t="str">
        <f t="array" ref="D201">IFERROR(OFFSET('名稱對照'!E$1,SMALL(IF(名稱_所屬洲別="AF",ROW(名稱_所屬洲別),""),row(200:200))-1,0),"")</f>
        <v/>
      </c>
      <c r="E201" s="14" t="str">
        <f t="array" ref="E201">IFERROR(OFFSET('名稱對照'!E$1,SMALL(IF(名稱_所屬洲別="EU",ROW(名稱_所屬洲別),""),row(200:200))-1,0),"")</f>
        <v/>
      </c>
      <c r="F201" s="16" t="str">
        <f t="array" ref="F201">IFERROR(OFFSET('名稱對照'!E$1,SMALL(IF(名稱_所屬洲別="WA",ROW(名稱_所屬洲別),""),row(200:200))-1,0),"")</f>
        <v/>
      </c>
      <c r="G201" s="14" t="str">
        <f t="array" ref="G201">IFERROR(OFFSET('名稱對照'!E$1,SMALL(IF(名稱_所屬洲別="AP",ROW(名稱_所屬洲別),""),row(200:200))-1,0),"")</f>
        <v/>
      </c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4" t="str">
        <f t="array" ref="B202">IFERROR(OFFSET('名稱對照'!E$1,SMALL(IF(名稱_所屬洲別="NA",ROW(名稱_所屬洲別),""),row(201:201))-1,0),"")</f>
        <v/>
      </c>
      <c r="C202" s="14" t="str">
        <f t="array" ref="C202">IFERROR(OFFSET('名稱對照'!E$1,SMALL(IF(名稱_所屬洲別="SA",ROW(名稱_所屬洲別),""),row(201:201))-1,0),"")</f>
        <v/>
      </c>
      <c r="D202" s="14" t="str">
        <f t="array" ref="D202">IFERROR(OFFSET('名稱對照'!E$1,SMALL(IF(名稱_所屬洲別="AF",ROW(名稱_所屬洲別),""),row(201:201))-1,0),"")</f>
        <v/>
      </c>
      <c r="E202" s="14" t="str">
        <f t="array" ref="E202">IFERROR(OFFSET('名稱對照'!E$1,SMALL(IF(名稱_所屬洲別="EU",ROW(名稱_所屬洲別),""),row(201:201))-1,0),"")</f>
        <v/>
      </c>
      <c r="F202" s="16" t="str">
        <f t="array" ref="F202">IFERROR(OFFSET('名稱對照'!E$1,SMALL(IF(名稱_所屬洲別="WA",ROW(名稱_所屬洲別),""),row(201:201))-1,0),"")</f>
        <v/>
      </c>
      <c r="G202" s="14" t="str">
        <f t="array" ref="G202">IFERROR(OFFSET('名稱對照'!E$1,SMALL(IF(名稱_所屬洲別="AP",ROW(名稱_所屬洲別),""),row(201:201))-1,0),"")</f>
        <v/>
      </c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4" t="str">
        <f t="array" ref="B203">IFERROR(OFFSET('名稱對照'!E$1,SMALL(IF(名稱_所屬洲別="NA",ROW(名稱_所屬洲別),""),row(202:202))-1,0),"")</f>
        <v/>
      </c>
      <c r="C203" s="14" t="str">
        <f t="array" ref="C203">IFERROR(OFFSET('名稱對照'!E$1,SMALL(IF(名稱_所屬洲別="SA",ROW(名稱_所屬洲別),""),row(202:202))-1,0),"")</f>
        <v/>
      </c>
      <c r="D203" s="14" t="str">
        <f t="array" ref="D203">IFERROR(OFFSET('名稱對照'!E$1,SMALL(IF(名稱_所屬洲別="AF",ROW(名稱_所屬洲別),""),row(202:202))-1,0),"")</f>
        <v/>
      </c>
      <c r="E203" s="14" t="str">
        <f t="array" ref="E203">IFERROR(OFFSET('名稱對照'!E$1,SMALL(IF(名稱_所屬洲別="EU",ROW(名稱_所屬洲別),""),row(202:202))-1,0),"")</f>
        <v/>
      </c>
      <c r="F203" s="16" t="str">
        <f t="array" ref="F203">IFERROR(OFFSET('名稱對照'!E$1,SMALL(IF(名稱_所屬洲別="WA",ROW(名稱_所屬洲別),""),row(202:202))-1,0),"")</f>
        <v/>
      </c>
      <c r="G203" s="14" t="str">
        <f t="array" ref="G203">IFERROR(OFFSET('名稱對照'!E$1,SMALL(IF(名稱_所屬洲別="AP",ROW(名稱_所屬洲別),""),row(202:202))-1,0),"")</f>
        <v/>
      </c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4" t="str">
        <f t="array" ref="B204">IFERROR(OFFSET('名稱對照'!E$1,SMALL(IF(名稱_所屬洲別="NA",ROW(名稱_所屬洲別),""),row(203:203))-1,0),"")</f>
        <v/>
      </c>
      <c r="C204" s="14" t="str">
        <f t="array" ref="C204">IFERROR(OFFSET('名稱對照'!E$1,SMALL(IF(名稱_所屬洲別="SA",ROW(名稱_所屬洲別),""),row(203:203))-1,0),"")</f>
        <v/>
      </c>
      <c r="D204" s="14" t="str">
        <f t="array" ref="D204">IFERROR(OFFSET('名稱對照'!E$1,SMALL(IF(名稱_所屬洲別="AF",ROW(名稱_所屬洲別),""),row(203:203))-1,0),"")</f>
        <v/>
      </c>
      <c r="E204" s="14" t="str">
        <f t="array" ref="E204">IFERROR(OFFSET('名稱對照'!E$1,SMALL(IF(名稱_所屬洲別="EU",ROW(名稱_所屬洲別),""),row(203:203))-1,0),"")</f>
        <v/>
      </c>
      <c r="F204" s="16" t="str">
        <f t="array" ref="F204">IFERROR(OFFSET('名稱對照'!E$1,SMALL(IF(名稱_所屬洲別="WA",ROW(名稱_所屬洲別),""),row(203:203))-1,0),"")</f>
        <v/>
      </c>
      <c r="G204" s="14" t="str">
        <f t="array" ref="G204">IFERROR(OFFSET('名稱對照'!E$1,SMALL(IF(名稱_所屬洲別="AP",ROW(名稱_所屬洲別),""),row(203:203))-1,0),"")</f>
        <v/>
      </c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4" t="str">
        <f t="array" ref="B205">IFERROR(OFFSET('名稱對照'!E$1,SMALL(IF(名稱_所屬洲別="NA",ROW(名稱_所屬洲別),""),row(204:204))-1,0),"")</f>
        <v/>
      </c>
      <c r="C205" s="14" t="str">
        <f t="array" ref="C205">IFERROR(OFFSET('名稱對照'!E$1,SMALL(IF(名稱_所屬洲別="SA",ROW(名稱_所屬洲別),""),row(204:204))-1,0),"")</f>
        <v/>
      </c>
      <c r="D205" s="14" t="str">
        <f t="array" ref="D205">IFERROR(OFFSET('名稱對照'!E$1,SMALL(IF(名稱_所屬洲別="AF",ROW(名稱_所屬洲別),""),row(204:204))-1,0),"")</f>
        <v/>
      </c>
      <c r="E205" s="14" t="str">
        <f t="array" ref="E205">IFERROR(OFFSET('名稱對照'!E$1,SMALL(IF(名稱_所屬洲別="EU",ROW(名稱_所屬洲別),""),row(204:204))-1,0),"")</f>
        <v/>
      </c>
      <c r="F205" s="16" t="str">
        <f t="array" ref="F205">IFERROR(OFFSET('名稱對照'!E$1,SMALL(IF(名稱_所屬洲別="WA",ROW(名稱_所屬洲別),""),row(204:204))-1,0),"")</f>
        <v/>
      </c>
      <c r="G205" s="14" t="str">
        <f t="array" ref="G205">IFERROR(OFFSET('名稱對照'!E$1,SMALL(IF(名稱_所屬洲別="AP",ROW(名稱_所屬洲別),""),row(204:204))-1,0),"")</f>
        <v/>
      </c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4" t="str">
        <f t="array" ref="B206">IFERROR(OFFSET('名稱對照'!E$1,SMALL(IF(名稱_所屬洲別="NA",ROW(名稱_所屬洲別),""),row(205:205))-1,0),"")</f>
        <v/>
      </c>
      <c r="C206" s="14" t="str">
        <f t="array" ref="C206">IFERROR(OFFSET('名稱對照'!E$1,SMALL(IF(名稱_所屬洲別="SA",ROW(名稱_所屬洲別),""),row(205:205))-1,0),"")</f>
        <v/>
      </c>
      <c r="D206" s="14" t="str">
        <f t="array" ref="D206">IFERROR(OFFSET('名稱對照'!E$1,SMALL(IF(名稱_所屬洲別="AF",ROW(名稱_所屬洲別),""),row(205:205))-1,0),"")</f>
        <v/>
      </c>
      <c r="E206" s="14" t="str">
        <f t="array" ref="E206">IFERROR(OFFSET('名稱對照'!E$1,SMALL(IF(名稱_所屬洲別="EU",ROW(名稱_所屬洲別),""),row(205:205))-1,0),"")</f>
        <v/>
      </c>
      <c r="F206" s="16" t="str">
        <f t="array" ref="F206">IFERROR(OFFSET('名稱對照'!E$1,SMALL(IF(名稱_所屬洲別="WA",ROW(名稱_所屬洲別),""),row(205:205))-1,0),"")</f>
        <v/>
      </c>
      <c r="G206" s="14" t="str">
        <f t="array" ref="G206">IFERROR(OFFSET('名稱對照'!E$1,SMALL(IF(名稱_所屬洲別="AP",ROW(名稱_所屬洲別),""),row(205:205))-1,0),"")</f>
        <v/>
      </c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4" t="str">
        <f t="array" ref="B207">IFERROR(OFFSET('名稱對照'!E$1,SMALL(IF(名稱_所屬洲別="NA",ROW(名稱_所屬洲別),""),row(206:206))-1,0),"")</f>
        <v/>
      </c>
      <c r="C207" s="14" t="str">
        <f t="array" ref="C207">IFERROR(OFFSET('名稱對照'!E$1,SMALL(IF(名稱_所屬洲別="SA",ROW(名稱_所屬洲別),""),row(206:206))-1,0),"")</f>
        <v/>
      </c>
      <c r="D207" s="14" t="str">
        <f t="array" ref="D207">IFERROR(OFFSET('名稱對照'!E$1,SMALL(IF(名稱_所屬洲別="AF",ROW(名稱_所屬洲別),""),row(206:206))-1,0),"")</f>
        <v/>
      </c>
      <c r="E207" s="14" t="str">
        <f t="array" ref="E207">IFERROR(OFFSET('名稱對照'!E$1,SMALL(IF(名稱_所屬洲別="EU",ROW(名稱_所屬洲別),""),row(206:206))-1,0),"")</f>
        <v/>
      </c>
      <c r="F207" s="16" t="str">
        <f t="array" ref="F207">IFERROR(OFFSET('名稱對照'!E$1,SMALL(IF(名稱_所屬洲別="WA",ROW(名稱_所屬洲別),""),row(206:206))-1,0),"")</f>
        <v/>
      </c>
      <c r="G207" s="14" t="str">
        <f t="array" ref="G207">IFERROR(OFFSET('名稱對照'!E$1,SMALL(IF(名稱_所屬洲別="AP",ROW(名稱_所屬洲別),""),row(206:206))-1,0),"")</f>
        <v/>
      </c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4" t="str">
        <f t="array" ref="B208">IFERROR(OFFSET('名稱對照'!E$1,SMALL(IF(名稱_所屬洲別="NA",ROW(名稱_所屬洲別),""),row(207:207))-1,0),"")</f>
        <v/>
      </c>
      <c r="C208" s="14" t="str">
        <f t="array" ref="C208">IFERROR(OFFSET('名稱對照'!E$1,SMALL(IF(名稱_所屬洲別="SA",ROW(名稱_所屬洲別),""),row(207:207))-1,0),"")</f>
        <v/>
      </c>
      <c r="D208" s="14" t="str">
        <f t="array" ref="D208">IFERROR(OFFSET('名稱對照'!E$1,SMALL(IF(名稱_所屬洲別="AF",ROW(名稱_所屬洲別),""),row(207:207))-1,0),"")</f>
        <v/>
      </c>
      <c r="E208" s="14" t="str">
        <f t="array" ref="E208">IFERROR(OFFSET('名稱對照'!E$1,SMALL(IF(名稱_所屬洲別="EU",ROW(名稱_所屬洲別),""),row(207:207))-1,0),"")</f>
        <v/>
      </c>
      <c r="F208" s="16" t="str">
        <f t="array" ref="F208">IFERROR(OFFSET('名稱對照'!E$1,SMALL(IF(名稱_所屬洲別="WA",ROW(名稱_所屬洲別),""),row(207:207))-1,0),"")</f>
        <v/>
      </c>
      <c r="G208" s="14" t="str">
        <f t="array" ref="G208">IFERROR(OFFSET('名稱對照'!E$1,SMALL(IF(名稱_所屬洲別="AP",ROW(名稱_所屬洲別),""),row(207:207))-1,0),"")</f>
        <v/>
      </c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4" t="str">
        <f t="array" ref="B209">IFERROR(OFFSET('名稱對照'!E$1,SMALL(IF(名稱_所屬洲別="NA",ROW(名稱_所屬洲別),""),row(208:208))-1,0),"")</f>
        <v/>
      </c>
      <c r="C209" s="14" t="str">
        <f t="array" ref="C209">IFERROR(OFFSET('名稱對照'!E$1,SMALL(IF(名稱_所屬洲別="SA",ROW(名稱_所屬洲別),""),row(208:208))-1,0),"")</f>
        <v/>
      </c>
      <c r="D209" s="14" t="str">
        <f t="array" ref="D209">IFERROR(OFFSET('名稱對照'!E$1,SMALL(IF(名稱_所屬洲別="AF",ROW(名稱_所屬洲別),""),row(208:208))-1,0),"")</f>
        <v/>
      </c>
      <c r="E209" s="14" t="str">
        <f t="array" ref="E209">IFERROR(OFFSET('名稱對照'!E$1,SMALL(IF(名稱_所屬洲別="EU",ROW(名稱_所屬洲別),""),row(208:208))-1,0),"")</f>
        <v/>
      </c>
      <c r="F209" s="16" t="str">
        <f t="array" ref="F209">IFERROR(OFFSET('名稱對照'!E$1,SMALL(IF(名稱_所屬洲別="WA",ROW(名稱_所屬洲別),""),row(208:208))-1,0),"")</f>
        <v/>
      </c>
      <c r="G209" s="14" t="str">
        <f t="array" ref="G209">IFERROR(OFFSET('名稱對照'!E$1,SMALL(IF(名稱_所屬洲別="AP",ROW(名稱_所屬洲別),""),row(208:208))-1,0),"")</f>
        <v/>
      </c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4" t="str">
        <f t="array" ref="B210">IFERROR(OFFSET('名稱對照'!E$1,SMALL(IF(名稱_所屬洲別="NA",ROW(名稱_所屬洲別),""),row(209:209))-1,0),"")</f>
        <v/>
      </c>
      <c r="C210" s="14" t="str">
        <f t="array" ref="C210">IFERROR(OFFSET('名稱對照'!E$1,SMALL(IF(名稱_所屬洲別="SA",ROW(名稱_所屬洲別),""),row(209:209))-1,0),"")</f>
        <v/>
      </c>
      <c r="D210" s="14" t="str">
        <f t="array" ref="D210">IFERROR(OFFSET('名稱對照'!E$1,SMALL(IF(名稱_所屬洲別="AF",ROW(名稱_所屬洲別),""),row(209:209))-1,0),"")</f>
        <v/>
      </c>
      <c r="E210" s="14" t="str">
        <f t="array" ref="E210">IFERROR(OFFSET('名稱對照'!E$1,SMALL(IF(名稱_所屬洲別="EU",ROW(名稱_所屬洲別),""),row(209:209))-1,0),"")</f>
        <v/>
      </c>
      <c r="F210" s="16" t="str">
        <f t="array" ref="F210">IFERROR(OFFSET('名稱對照'!E$1,SMALL(IF(名稱_所屬洲別="WA",ROW(名稱_所屬洲別),""),row(209:209))-1,0),"")</f>
        <v/>
      </c>
      <c r="G210" s="14" t="str">
        <f t="array" ref="G210">IFERROR(OFFSET('名稱對照'!E$1,SMALL(IF(名稱_所屬洲別="AP",ROW(名稱_所屬洲別),""),row(209:209))-1,0),"")</f>
        <v/>
      </c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4" t="str">
        <f t="array" ref="B211">IFERROR(OFFSET('名稱對照'!E$1,SMALL(IF(名稱_所屬洲別="NA",ROW(名稱_所屬洲別),""),row(210:210))-1,0),"")</f>
        <v/>
      </c>
      <c r="C211" s="14" t="str">
        <f t="array" ref="C211">IFERROR(OFFSET('名稱對照'!E$1,SMALL(IF(名稱_所屬洲別="SA",ROW(名稱_所屬洲別),""),row(210:210))-1,0),"")</f>
        <v/>
      </c>
      <c r="D211" s="14" t="str">
        <f t="array" ref="D211">IFERROR(OFFSET('名稱對照'!E$1,SMALL(IF(名稱_所屬洲別="AF",ROW(名稱_所屬洲別),""),row(210:210))-1,0),"")</f>
        <v/>
      </c>
      <c r="E211" s="14" t="str">
        <f t="array" ref="E211">IFERROR(OFFSET('名稱對照'!E$1,SMALL(IF(名稱_所屬洲別="EU",ROW(名稱_所屬洲別),""),row(210:210))-1,0),"")</f>
        <v/>
      </c>
      <c r="F211" s="16" t="str">
        <f t="array" ref="F211">IFERROR(OFFSET('名稱對照'!E$1,SMALL(IF(名稱_所屬洲別="WA",ROW(名稱_所屬洲別),""),row(210:210))-1,0),"")</f>
        <v/>
      </c>
      <c r="G211" s="14" t="str">
        <f t="array" ref="G211">IFERROR(OFFSET('名稱對照'!E$1,SMALL(IF(名稱_所屬洲別="AP",ROW(名稱_所屬洲別),""),row(210:210))-1,0),"")</f>
        <v/>
      </c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4" t="str">
        <f t="array" ref="B212">IFERROR(OFFSET('名稱對照'!E$1,SMALL(IF(名稱_所屬洲別="NA",ROW(名稱_所屬洲別),""),row(211:211))-1,0),"")</f>
        <v/>
      </c>
      <c r="C212" s="14" t="str">
        <f t="array" ref="C212">IFERROR(OFFSET('名稱對照'!E$1,SMALL(IF(名稱_所屬洲別="SA",ROW(名稱_所屬洲別),""),row(211:211))-1,0),"")</f>
        <v/>
      </c>
      <c r="D212" s="14" t="str">
        <f t="array" ref="D212">IFERROR(OFFSET('名稱對照'!E$1,SMALL(IF(名稱_所屬洲別="AF",ROW(名稱_所屬洲別),""),row(211:211))-1,0),"")</f>
        <v/>
      </c>
      <c r="E212" s="14" t="str">
        <f t="array" ref="E212">IFERROR(OFFSET('名稱對照'!E$1,SMALL(IF(名稱_所屬洲別="EU",ROW(名稱_所屬洲別),""),row(211:211))-1,0),"")</f>
        <v/>
      </c>
      <c r="F212" s="16" t="str">
        <f t="array" ref="F212">IFERROR(OFFSET('名稱對照'!E$1,SMALL(IF(名稱_所屬洲別="WA",ROW(名稱_所屬洲別),""),row(211:211))-1,0),"")</f>
        <v/>
      </c>
      <c r="G212" s="14" t="str">
        <f t="array" ref="G212">IFERROR(OFFSET('名稱對照'!E$1,SMALL(IF(名稱_所屬洲別="AP",ROW(名稱_所屬洲別),""),row(211:211))-1,0),"")</f>
        <v/>
      </c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4" t="str">
        <f t="array" ref="B213">IFERROR(OFFSET('名稱對照'!E$1,SMALL(IF(名稱_所屬洲別="NA",ROW(名稱_所屬洲別),""),row(212:212))-1,0),"")</f>
        <v/>
      </c>
      <c r="C213" s="14" t="str">
        <f t="array" ref="C213">IFERROR(OFFSET('名稱對照'!E$1,SMALL(IF(名稱_所屬洲別="SA",ROW(名稱_所屬洲別),""),row(212:212))-1,0),"")</f>
        <v/>
      </c>
      <c r="D213" s="14" t="str">
        <f t="array" ref="D213">IFERROR(OFFSET('名稱對照'!E$1,SMALL(IF(名稱_所屬洲別="AF",ROW(名稱_所屬洲別),""),row(212:212))-1,0),"")</f>
        <v/>
      </c>
      <c r="E213" s="14" t="str">
        <f t="array" ref="E213">IFERROR(OFFSET('名稱對照'!E$1,SMALL(IF(名稱_所屬洲別="EU",ROW(名稱_所屬洲別),""),row(212:212))-1,0),"")</f>
        <v/>
      </c>
      <c r="F213" s="16" t="str">
        <f t="array" ref="F213">IFERROR(OFFSET('名稱對照'!E$1,SMALL(IF(名稱_所屬洲別="WA",ROW(名稱_所屬洲別),""),row(212:212))-1,0),"")</f>
        <v/>
      </c>
      <c r="G213" s="14" t="str">
        <f t="array" ref="G213">IFERROR(OFFSET('名稱對照'!E$1,SMALL(IF(名稱_所屬洲別="AP",ROW(名稱_所屬洲別),""),row(212:212))-1,0),"")</f>
        <v/>
      </c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4" t="str">
        <f t="array" ref="B214">IFERROR(OFFSET('名稱對照'!E$1,SMALL(IF(名稱_所屬洲別="NA",ROW(名稱_所屬洲別),""),row(213:213))-1,0),"")</f>
        <v/>
      </c>
      <c r="C214" s="14" t="str">
        <f t="array" ref="C214">IFERROR(OFFSET('名稱對照'!E$1,SMALL(IF(名稱_所屬洲別="SA",ROW(名稱_所屬洲別),""),row(213:213))-1,0),"")</f>
        <v/>
      </c>
      <c r="D214" s="14" t="str">
        <f t="array" ref="D214">IFERROR(OFFSET('名稱對照'!E$1,SMALL(IF(名稱_所屬洲別="AF",ROW(名稱_所屬洲別),""),row(213:213))-1,0),"")</f>
        <v/>
      </c>
      <c r="E214" s="14" t="str">
        <f t="array" ref="E214">IFERROR(OFFSET('名稱對照'!E$1,SMALL(IF(名稱_所屬洲別="EU",ROW(名稱_所屬洲別),""),row(213:213))-1,0),"")</f>
        <v/>
      </c>
      <c r="F214" s="16" t="str">
        <f t="array" ref="F214">IFERROR(OFFSET('名稱對照'!E$1,SMALL(IF(名稱_所屬洲別="WA",ROW(名稱_所屬洲別),""),row(213:213))-1,0),"")</f>
        <v/>
      </c>
      <c r="G214" s="14" t="str">
        <f t="array" ref="G214">IFERROR(OFFSET('名稱對照'!E$1,SMALL(IF(名稱_所屬洲別="AP",ROW(名稱_所屬洲別),""),row(213:213))-1,0),"")</f>
        <v/>
      </c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4" t="str">
        <f t="array" ref="B215">IFERROR(OFFSET('名稱對照'!E$1,SMALL(IF(名稱_所屬洲別="NA",ROW(名稱_所屬洲別),""),row(214:214))-1,0),"")</f>
        <v/>
      </c>
      <c r="C215" s="14" t="str">
        <f t="array" ref="C215">IFERROR(OFFSET('名稱對照'!E$1,SMALL(IF(名稱_所屬洲別="SA",ROW(名稱_所屬洲別),""),row(214:214))-1,0),"")</f>
        <v/>
      </c>
      <c r="D215" s="14" t="str">
        <f t="array" ref="D215">IFERROR(OFFSET('名稱對照'!E$1,SMALL(IF(名稱_所屬洲別="AF",ROW(名稱_所屬洲別),""),row(214:214))-1,0),"")</f>
        <v/>
      </c>
      <c r="E215" s="14" t="str">
        <f t="array" ref="E215">IFERROR(OFFSET('名稱對照'!E$1,SMALL(IF(名稱_所屬洲別="EU",ROW(名稱_所屬洲別),""),row(214:214))-1,0),"")</f>
        <v/>
      </c>
      <c r="F215" s="16" t="str">
        <f t="array" ref="F215">IFERROR(OFFSET('名稱對照'!E$1,SMALL(IF(名稱_所屬洲別="WA",ROW(名稱_所屬洲別),""),row(214:214))-1,0),"")</f>
        <v/>
      </c>
      <c r="G215" s="14" t="str">
        <f t="array" ref="G215">IFERROR(OFFSET('名稱對照'!E$1,SMALL(IF(名稱_所屬洲別="AP",ROW(名稱_所屬洲別),""),row(214:214))-1,0),"")</f>
        <v/>
      </c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4" t="str">
        <f t="array" ref="B216">IFERROR(OFFSET('名稱對照'!E$1,SMALL(IF(名稱_所屬洲別="NA",ROW(名稱_所屬洲別),""),row(215:215))-1,0),"")</f>
        <v/>
      </c>
      <c r="C216" s="14" t="str">
        <f t="array" ref="C216">IFERROR(OFFSET('名稱對照'!E$1,SMALL(IF(名稱_所屬洲別="SA",ROW(名稱_所屬洲別),""),row(215:215))-1,0),"")</f>
        <v/>
      </c>
      <c r="D216" s="14" t="str">
        <f t="array" ref="D216">IFERROR(OFFSET('名稱對照'!E$1,SMALL(IF(名稱_所屬洲別="AF",ROW(名稱_所屬洲別),""),row(215:215))-1,0),"")</f>
        <v/>
      </c>
      <c r="E216" s="14" t="str">
        <f t="array" ref="E216">IFERROR(OFFSET('名稱對照'!E$1,SMALL(IF(名稱_所屬洲別="EU",ROW(名稱_所屬洲別),""),row(215:215))-1,0),"")</f>
        <v/>
      </c>
      <c r="F216" s="16" t="str">
        <f t="array" ref="F216">IFERROR(OFFSET('名稱對照'!E$1,SMALL(IF(名稱_所屬洲別="WA",ROW(名稱_所屬洲別),""),row(215:215))-1,0),"")</f>
        <v/>
      </c>
      <c r="G216" s="14" t="str">
        <f t="array" ref="G216">IFERROR(OFFSET('名稱對照'!E$1,SMALL(IF(名稱_所屬洲別="AP",ROW(名稱_所屬洲別),""),row(215:215))-1,0),"")</f>
        <v/>
      </c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4" t="str">
        <f t="array" ref="B217">IFERROR(OFFSET('名稱對照'!E$1,SMALL(IF(名稱_所屬洲別="NA",ROW(名稱_所屬洲別),""),row(216:216))-1,0),"")</f>
        <v/>
      </c>
      <c r="C217" s="14" t="str">
        <f t="array" ref="C217">IFERROR(OFFSET('名稱對照'!E$1,SMALL(IF(名稱_所屬洲別="SA",ROW(名稱_所屬洲別),""),row(216:216))-1,0),"")</f>
        <v/>
      </c>
      <c r="D217" s="14" t="str">
        <f t="array" ref="D217">IFERROR(OFFSET('名稱對照'!E$1,SMALL(IF(名稱_所屬洲別="AF",ROW(名稱_所屬洲別),""),row(216:216))-1,0),"")</f>
        <v/>
      </c>
      <c r="E217" s="14" t="str">
        <f t="array" ref="E217">IFERROR(OFFSET('名稱對照'!E$1,SMALL(IF(名稱_所屬洲別="EU",ROW(名稱_所屬洲別),""),row(216:216))-1,0),"")</f>
        <v/>
      </c>
      <c r="F217" s="16" t="str">
        <f t="array" ref="F217">IFERROR(OFFSET('名稱對照'!E$1,SMALL(IF(名稱_所屬洲別="WA",ROW(名稱_所屬洲別),""),row(216:216))-1,0),"")</f>
        <v/>
      </c>
      <c r="G217" s="14" t="str">
        <f t="array" ref="G217">IFERROR(OFFSET('名稱對照'!E$1,SMALL(IF(名稱_所屬洲別="AP",ROW(名稱_所屬洲別),""),row(216:216))-1,0),"")</f>
        <v/>
      </c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4" t="str">
        <f t="array" ref="B218">IFERROR(OFFSET('名稱對照'!E$1,SMALL(IF(名稱_所屬洲別="NA",ROW(名稱_所屬洲別),""),row(217:217))-1,0),"")</f>
        <v/>
      </c>
      <c r="C218" s="14" t="str">
        <f t="array" ref="C218">IFERROR(OFFSET('名稱對照'!E$1,SMALL(IF(名稱_所屬洲別="SA",ROW(名稱_所屬洲別),""),row(217:217))-1,0),"")</f>
        <v/>
      </c>
      <c r="D218" s="14" t="str">
        <f t="array" ref="D218">IFERROR(OFFSET('名稱對照'!E$1,SMALL(IF(名稱_所屬洲別="AF",ROW(名稱_所屬洲別),""),row(217:217))-1,0),"")</f>
        <v/>
      </c>
      <c r="E218" s="14" t="str">
        <f t="array" ref="E218">IFERROR(OFFSET('名稱對照'!E$1,SMALL(IF(名稱_所屬洲別="EU",ROW(名稱_所屬洲別),""),row(217:217))-1,0),"")</f>
        <v/>
      </c>
      <c r="F218" s="16" t="str">
        <f t="array" ref="F218">IFERROR(OFFSET('名稱對照'!E$1,SMALL(IF(名稱_所屬洲別="WA",ROW(名稱_所屬洲別),""),row(217:217))-1,0),"")</f>
        <v/>
      </c>
      <c r="G218" s="14" t="str">
        <f t="array" ref="G218">IFERROR(OFFSET('名稱對照'!E$1,SMALL(IF(名稱_所屬洲別="AP",ROW(名稱_所屬洲別),""),row(217:217))-1,0),"")</f>
        <v/>
      </c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4" t="str">
        <f t="array" ref="B219">IFERROR(OFFSET('名稱對照'!E$1,SMALL(IF(名稱_所屬洲別="NA",ROW(名稱_所屬洲別),""),row(218:218))-1,0),"")</f>
        <v/>
      </c>
      <c r="C219" s="14" t="str">
        <f t="array" ref="C219">IFERROR(OFFSET('名稱對照'!E$1,SMALL(IF(名稱_所屬洲別="SA",ROW(名稱_所屬洲別),""),row(218:218))-1,0),"")</f>
        <v/>
      </c>
      <c r="D219" s="14" t="str">
        <f t="array" ref="D219">IFERROR(OFFSET('名稱對照'!E$1,SMALL(IF(名稱_所屬洲別="AF",ROW(名稱_所屬洲別),""),row(218:218))-1,0),"")</f>
        <v/>
      </c>
      <c r="E219" s="14" t="str">
        <f t="array" ref="E219">IFERROR(OFFSET('名稱對照'!E$1,SMALL(IF(名稱_所屬洲別="EU",ROW(名稱_所屬洲別),""),row(218:218))-1,0),"")</f>
        <v/>
      </c>
      <c r="F219" s="16" t="str">
        <f t="array" ref="F219">IFERROR(OFFSET('名稱對照'!E$1,SMALL(IF(名稱_所屬洲別="WA",ROW(名稱_所屬洲別),""),row(218:218))-1,0),"")</f>
        <v/>
      </c>
      <c r="G219" s="14" t="str">
        <f t="array" ref="G219">IFERROR(OFFSET('名稱對照'!E$1,SMALL(IF(名稱_所屬洲別="AP",ROW(名稱_所屬洲別),""),row(218:218))-1,0),"")</f>
        <v/>
      </c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4" t="str">
        <f t="array" ref="B220">IFERROR(OFFSET('名稱對照'!E$1,SMALL(IF(名稱_所屬洲別="NA",ROW(名稱_所屬洲別),""),row(219:219))-1,0),"")</f>
        <v/>
      </c>
      <c r="C220" s="14" t="str">
        <f t="array" ref="C220">IFERROR(OFFSET('名稱對照'!E$1,SMALL(IF(名稱_所屬洲別="SA",ROW(名稱_所屬洲別),""),row(219:219))-1,0),"")</f>
        <v/>
      </c>
      <c r="D220" s="14" t="str">
        <f t="array" ref="D220">IFERROR(OFFSET('名稱對照'!E$1,SMALL(IF(名稱_所屬洲別="AF",ROW(名稱_所屬洲別),""),row(219:219))-1,0),"")</f>
        <v/>
      </c>
      <c r="E220" s="14" t="str">
        <f t="array" ref="E220">IFERROR(OFFSET('名稱對照'!E$1,SMALL(IF(名稱_所屬洲別="EU",ROW(名稱_所屬洲別),""),row(219:219))-1,0),"")</f>
        <v/>
      </c>
      <c r="F220" s="16" t="str">
        <f t="array" ref="F220">IFERROR(OFFSET('名稱對照'!E$1,SMALL(IF(名稱_所屬洲別="WA",ROW(名稱_所屬洲別),""),row(219:219))-1,0),"")</f>
        <v/>
      </c>
      <c r="G220" s="14" t="str">
        <f t="array" ref="G220">IFERROR(OFFSET('名稱對照'!E$1,SMALL(IF(名稱_所屬洲別="AP",ROW(名稱_所屬洲別),""),row(219:219))-1,0),"")</f>
        <v/>
      </c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4" t="str">
        <f t="array" ref="B221">IFERROR(OFFSET('名稱對照'!E$1,SMALL(IF(名稱_所屬洲別="NA",ROW(名稱_所屬洲別),""),row(220:220))-1,0),"")</f>
        <v/>
      </c>
      <c r="C221" s="14" t="str">
        <f t="array" ref="C221">IFERROR(OFFSET('名稱對照'!E$1,SMALL(IF(名稱_所屬洲別="SA",ROW(名稱_所屬洲別),""),row(220:220))-1,0),"")</f>
        <v/>
      </c>
      <c r="D221" s="14" t="str">
        <f t="array" ref="D221">IFERROR(OFFSET('名稱對照'!E$1,SMALL(IF(名稱_所屬洲別="AF",ROW(名稱_所屬洲別),""),row(220:220))-1,0),"")</f>
        <v/>
      </c>
      <c r="E221" s="14" t="str">
        <f t="array" ref="E221">IFERROR(OFFSET('名稱對照'!E$1,SMALL(IF(名稱_所屬洲別="EU",ROW(名稱_所屬洲別),""),row(220:220))-1,0),"")</f>
        <v/>
      </c>
      <c r="F221" s="16" t="str">
        <f t="array" ref="F221">IFERROR(OFFSET('名稱對照'!E$1,SMALL(IF(名稱_所屬洲別="WA",ROW(名稱_所屬洲別),""),row(220:220))-1,0),"")</f>
        <v/>
      </c>
      <c r="G221" s="14" t="str">
        <f t="array" ref="G221">IFERROR(OFFSET('名稱對照'!E$1,SMALL(IF(名稱_所屬洲別="AP",ROW(名稱_所屬洲別),""),row(220:220))-1,0),"")</f>
        <v/>
      </c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4" t="str">
        <f t="array" ref="B222">IFERROR(OFFSET('名稱對照'!E$1,SMALL(IF(名稱_所屬洲別="NA",ROW(名稱_所屬洲別),""),row(221:221))-1,0),"")</f>
        <v/>
      </c>
      <c r="C222" s="14" t="str">
        <f t="array" ref="C222">IFERROR(OFFSET('名稱對照'!E$1,SMALL(IF(名稱_所屬洲別="SA",ROW(名稱_所屬洲別),""),row(221:221))-1,0),"")</f>
        <v/>
      </c>
      <c r="D222" s="14" t="str">
        <f t="array" ref="D222">IFERROR(OFFSET('名稱對照'!E$1,SMALL(IF(名稱_所屬洲別="AF",ROW(名稱_所屬洲別),""),row(221:221))-1,0),"")</f>
        <v/>
      </c>
      <c r="E222" s="14" t="str">
        <f t="array" ref="E222">IFERROR(OFFSET('名稱對照'!E$1,SMALL(IF(名稱_所屬洲別="EU",ROW(名稱_所屬洲別),""),row(221:221))-1,0),"")</f>
        <v/>
      </c>
      <c r="F222" s="16" t="str">
        <f t="array" ref="F222">IFERROR(OFFSET('名稱對照'!E$1,SMALL(IF(名稱_所屬洲別="WA",ROW(名稱_所屬洲別),""),row(221:221))-1,0),"")</f>
        <v/>
      </c>
      <c r="G222" s="14" t="str">
        <f t="array" ref="G222">IFERROR(OFFSET('名稱對照'!E$1,SMALL(IF(名稱_所屬洲別="AP",ROW(名稱_所屬洲別),""),row(221:221))-1,0),"")</f>
        <v/>
      </c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4" t="str">
        <f t="array" ref="B223">IFERROR(OFFSET('名稱對照'!E$1,SMALL(IF(名稱_所屬洲別="NA",ROW(名稱_所屬洲別),""),row(222:222))-1,0),"")</f>
        <v/>
      </c>
      <c r="C223" s="14" t="str">
        <f t="array" ref="C223">IFERROR(OFFSET('名稱對照'!E$1,SMALL(IF(名稱_所屬洲別="SA",ROW(名稱_所屬洲別),""),row(222:222))-1,0),"")</f>
        <v/>
      </c>
      <c r="D223" s="14" t="str">
        <f t="array" ref="D223">IFERROR(OFFSET('名稱對照'!E$1,SMALL(IF(名稱_所屬洲別="AF",ROW(名稱_所屬洲別),""),row(222:222))-1,0),"")</f>
        <v/>
      </c>
      <c r="E223" s="14" t="str">
        <f t="array" ref="E223">IFERROR(OFFSET('名稱對照'!E$1,SMALL(IF(名稱_所屬洲別="EU",ROW(名稱_所屬洲別),""),row(222:222))-1,0),"")</f>
        <v/>
      </c>
      <c r="F223" s="16" t="str">
        <f t="array" ref="F223">IFERROR(OFFSET('名稱對照'!E$1,SMALL(IF(名稱_所屬洲別="WA",ROW(名稱_所屬洲別),""),row(222:222))-1,0),"")</f>
        <v/>
      </c>
      <c r="G223" s="14" t="str">
        <f t="array" ref="G223">IFERROR(OFFSET('名稱對照'!E$1,SMALL(IF(名稱_所屬洲別="AP",ROW(名稱_所屬洲別),""),row(222:222))-1,0),"")</f>
        <v/>
      </c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4" t="str">
        <f t="array" ref="B224">IFERROR(OFFSET('名稱對照'!E$1,SMALL(IF(名稱_所屬洲別="NA",ROW(名稱_所屬洲別),""),row(223:223))-1,0),"")</f>
        <v/>
      </c>
      <c r="C224" s="14" t="str">
        <f t="array" ref="C224">IFERROR(OFFSET('名稱對照'!E$1,SMALL(IF(名稱_所屬洲別="SA",ROW(名稱_所屬洲別),""),row(223:223))-1,0),"")</f>
        <v/>
      </c>
      <c r="D224" s="14" t="str">
        <f t="array" ref="D224">IFERROR(OFFSET('名稱對照'!E$1,SMALL(IF(名稱_所屬洲別="AF",ROW(名稱_所屬洲別),""),row(223:223))-1,0),"")</f>
        <v/>
      </c>
      <c r="E224" s="14" t="str">
        <f t="array" ref="E224">IFERROR(OFFSET('名稱對照'!E$1,SMALL(IF(名稱_所屬洲別="EU",ROW(名稱_所屬洲別),""),row(223:223))-1,0),"")</f>
        <v/>
      </c>
      <c r="F224" s="16" t="str">
        <f t="array" ref="F224">IFERROR(OFFSET('名稱對照'!E$1,SMALL(IF(名稱_所屬洲別="WA",ROW(名稱_所屬洲別),""),row(223:223))-1,0),"")</f>
        <v/>
      </c>
      <c r="G224" s="14" t="str">
        <f t="array" ref="G224">IFERROR(OFFSET('名稱對照'!E$1,SMALL(IF(名稱_所屬洲別="AP",ROW(名稱_所屬洲別),""),row(223:223))-1,0),"")</f>
        <v/>
      </c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4" t="str">
        <f t="array" ref="B225">IFERROR(OFFSET('名稱對照'!E$1,SMALL(IF(名稱_所屬洲別="NA",ROW(名稱_所屬洲別),""),row(224:224))-1,0),"")</f>
        <v/>
      </c>
      <c r="C225" s="14" t="str">
        <f t="array" ref="C225">IFERROR(OFFSET('名稱對照'!E$1,SMALL(IF(名稱_所屬洲別="SA",ROW(名稱_所屬洲別),""),row(224:224))-1,0),"")</f>
        <v/>
      </c>
      <c r="D225" s="14" t="str">
        <f t="array" ref="D225">IFERROR(OFFSET('名稱對照'!E$1,SMALL(IF(名稱_所屬洲別="AF",ROW(名稱_所屬洲別),""),row(224:224))-1,0),"")</f>
        <v/>
      </c>
      <c r="E225" s="14" t="str">
        <f t="array" ref="E225">IFERROR(OFFSET('名稱對照'!E$1,SMALL(IF(名稱_所屬洲別="EU",ROW(名稱_所屬洲別),""),row(224:224))-1,0),"")</f>
        <v/>
      </c>
      <c r="F225" s="16" t="str">
        <f t="array" ref="F225">IFERROR(OFFSET('名稱對照'!E$1,SMALL(IF(名稱_所屬洲別="WA",ROW(名稱_所屬洲別),""),row(224:224))-1,0),"")</f>
        <v/>
      </c>
      <c r="G225" s="14" t="str">
        <f t="array" ref="G225">IFERROR(OFFSET('名稱對照'!E$1,SMALL(IF(名稱_所屬洲別="AP",ROW(名稱_所屬洲別),""),row(224:224))-1,0),"")</f>
        <v/>
      </c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4" t="str">
        <f t="array" ref="B226">IFERROR(OFFSET('名稱對照'!E$1,SMALL(IF(名稱_所屬洲別="NA",ROW(名稱_所屬洲別),""),row(225:225))-1,0),"")</f>
        <v/>
      </c>
      <c r="C226" s="14" t="str">
        <f t="array" ref="C226">IFERROR(OFFSET('名稱對照'!E$1,SMALL(IF(名稱_所屬洲別="SA",ROW(名稱_所屬洲別),""),row(225:225))-1,0),"")</f>
        <v/>
      </c>
      <c r="D226" s="14" t="str">
        <f t="array" ref="D226">IFERROR(OFFSET('名稱對照'!E$1,SMALL(IF(名稱_所屬洲別="AF",ROW(名稱_所屬洲別),""),row(225:225))-1,0),"")</f>
        <v/>
      </c>
      <c r="E226" s="14" t="str">
        <f t="array" ref="E226">IFERROR(OFFSET('名稱對照'!E$1,SMALL(IF(名稱_所屬洲別="EU",ROW(名稱_所屬洲別),""),row(225:225))-1,0),"")</f>
        <v/>
      </c>
      <c r="F226" s="16" t="str">
        <f t="array" ref="F226">IFERROR(OFFSET('名稱對照'!E$1,SMALL(IF(名稱_所屬洲別="WA",ROW(名稱_所屬洲別),""),row(225:225))-1,0),"")</f>
        <v/>
      </c>
      <c r="G226" s="14" t="str">
        <f t="array" ref="G226">IFERROR(OFFSET('名稱對照'!E$1,SMALL(IF(名稱_所屬洲別="AP",ROW(名稱_所屬洲別),""),row(225:225))-1,0),"")</f>
        <v/>
      </c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4" t="str">
        <f t="array" ref="B227">IFERROR(OFFSET('名稱對照'!E$1,SMALL(IF(名稱_所屬洲別="NA",ROW(名稱_所屬洲別),""),row(226:226))-1,0),"")</f>
        <v/>
      </c>
      <c r="C227" s="14" t="str">
        <f t="array" ref="C227">IFERROR(OFFSET('名稱對照'!E$1,SMALL(IF(名稱_所屬洲別="SA",ROW(名稱_所屬洲別),""),row(226:226))-1,0),"")</f>
        <v/>
      </c>
      <c r="D227" s="14" t="str">
        <f t="array" ref="D227">IFERROR(OFFSET('名稱對照'!E$1,SMALL(IF(名稱_所屬洲別="AF",ROW(名稱_所屬洲別),""),row(226:226))-1,0),"")</f>
        <v/>
      </c>
      <c r="E227" s="14" t="str">
        <f t="array" ref="E227">IFERROR(OFFSET('名稱對照'!E$1,SMALL(IF(名稱_所屬洲別="EU",ROW(名稱_所屬洲別),""),row(226:226))-1,0),"")</f>
        <v/>
      </c>
      <c r="F227" s="16" t="str">
        <f t="array" ref="F227">IFERROR(OFFSET('名稱對照'!E$1,SMALL(IF(名稱_所屬洲別="WA",ROW(名稱_所屬洲別),""),row(226:226))-1,0),"")</f>
        <v/>
      </c>
      <c r="G227" s="14" t="str">
        <f t="array" ref="G227">IFERROR(OFFSET('名稱對照'!E$1,SMALL(IF(名稱_所屬洲別="AP",ROW(名稱_所屬洲別),""),row(226:226))-1,0),"")</f>
        <v/>
      </c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4" t="str">
        <f t="array" ref="B228">IFERROR(OFFSET('名稱對照'!E$1,SMALL(IF(名稱_所屬洲別="NA",ROW(名稱_所屬洲別),""),row(227:227))-1,0),"")</f>
        <v/>
      </c>
      <c r="C228" s="14" t="str">
        <f t="array" ref="C228">IFERROR(OFFSET('名稱對照'!E$1,SMALL(IF(名稱_所屬洲別="SA",ROW(名稱_所屬洲別),""),row(227:227))-1,0),"")</f>
        <v/>
      </c>
      <c r="D228" s="14" t="str">
        <f t="array" ref="D228">IFERROR(OFFSET('名稱對照'!E$1,SMALL(IF(名稱_所屬洲別="AF",ROW(名稱_所屬洲別),""),row(227:227))-1,0),"")</f>
        <v/>
      </c>
      <c r="E228" s="14" t="str">
        <f t="array" ref="E228">IFERROR(OFFSET('名稱對照'!E$1,SMALL(IF(名稱_所屬洲別="EU",ROW(名稱_所屬洲別),""),row(227:227))-1,0),"")</f>
        <v/>
      </c>
      <c r="F228" s="16" t="str">
        <f t="array" ref="F228">IFERROR(OFFSET('名稱對照'!E$1,SMALL(IF(名稱_所屬洲別="WA",ROW(名稱_所屬洲別),""),row(227:227))-1,0),"")</f>
        <v/>
      </c>
      <c r="G228" s="14" t="str">
        <f t="array" ref="G228">IFERROR(OFFSET('名稱對照'!E$1,SMALL(IF(名稱_所屬洲別="AP",ROW(名稱_所屬洲別),""),row(227:227))-1,0),"")</f>
        <v/>
      </c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4" t="str">
        <f t="array" ref="B229">IFERROR(OFFSET('名稱對照'!E$1,SMALL(IF(名稱_所屬洲別="NA",ROW(名稱_所屬洲別),""),row(228:228))-1,0),"")</f>
        <v/>
      </c>
      <c r="C229" s="14" t="str">
        <f t="array" ref="C229">IFERROR(OFFSET('名稱對照'!E$1,SMALL(IF(名稱_所屬洲別="SA",ROW(名稱_所屬洲別),""),row(228:228))-1,0),"")</f>
        <v/>
      </c>
      <c r="D229" s="14" t="str">
        <f t="array" ref="D229">IFERROR(OFFSET('名稱對照'!E$1,SMALL(IF(名稱_所屬洲別="AF",ROW(名稱_所屬洲別),""),row(228:228))-1,0),"")</f>
        <v/>
      </c>
      <c r="E229" s="14" t="str">
        <f t="array" ref="E229">IFERROR(OFFSET('名稱對照'!E$1,SMALL(IF(名稱_所屬洲別="EU",ROW(名稱_所屬洲別),""),row(228:228))-1,0),"")</f>
        <v/>
      </c>
      <c r="F229" s="16" t="str">
        <f t="array" ref="F229">IFERROR(OFFSET('名稱對照'!E$1,SMALL(IF(名稱_所屬洲別="WA",ROW(名稱_所屬洲別),""),row(228:228))-1,0),"")</f>
        <v/>
      </c>
      <c r="G229" s="14" t="str">
        <f t="array" ref="G229">IFERROR(OFFSET('名稱對照'!E$1,SMALL(IF(名稱_所屬洲別="AP",ROW(名稱_所屬洲別),""),row(228:228))-1,0),"")</f>
        <v/>
      </c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4" t="str">
        <f t="array" ref="B230">IFERROR(OFFSET('名稱對照'!E$1,SMALL(IF(名稱_所屬洲別="NA",ROW(名稱_所屬洲別),""),row(229:229))-1,0),"")</f>
        <v/>
      </c>
      <c r="C230" s="14" t="str">
        <f t="array" ref="C230">IFERROR(OFFSET('名稱對照'!E$1,SMALL(IF(名稱_所屬洲別="SA",ROW(名稱_所屬洲別),""),row(229:229))-1,0),"")</f>
        <v/>
      </c>
      <c r="D230" s="14" t="str">
        <f t="array" ref="D230">IFERROR(OFFSET('名稱對照'!E$1,SMALL(IF(名稱_所屬洲別="AF",ROW(名稱_所屬洲別),""),row(229:229))-1,0),"")</f>
        <v/>
      </c>
      <c r="E230" s="14" t="str">
        <f t="array" ref="E230">IFERROR(OFFSET('名稱對照'!E$1,SMALL(IF(名稱_所屬洲別="EU",ROW(名稱_所屬洲別),""),row(229:229))-1,0),"")</f>
        <v/>
      </c>
      <c r="F230" s="16" t="str">
        <f t="array" ref="F230">IFERROR(OFFSET('名稱對照'!E$1,SMALL(IF(名稱_所屬洲別="WA",ROW(名稱_所屬洲別),""),row(229:229))-1,0),"")</f>
        <v/>
      </c>
      <c r="G230" s="14" t="str">
        <f t="array" ref="G230">IFERROR(OFFSET('名稱對照'!E$1,SMALL(IF(名稱_所屬洲別="AP",ROW(名稱_所屬洲別),""),row(229:229))-1,0),"")</f>
        <v/>
      </c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4" t="str">
        <f t="array" ref="B231">IFERROR(OFFSET('名稱對照'!E$1,SMALL(IF(名稱_所屬洲別="NA",ROW(名稱_所屬洲別),""),row(230:230))-1,0),"")</f>
        <v/>
      </c>
      <c r="C231" s="14" t="str">
        <f t="array" ref="C231">IFERROR(OFFSET('名稱對照'!E$1,SMALL(IF(名稱_所屬洲別="SA",ROW(名稱_所屬洲別),""),row(230:230))-1,0),"")</f>
        <v/>
      </c>
      <c r="D231" s="14" t="str">
        <f t="array" ref="D231">IFERROR(OFFSET('名稱對照'!E$1,SMALL(IF(名稱_所屬洲別="AF",ROW(名稱_所屬洲別),""),row(230:230))-1,0),"")</f>
        <v/>
      </c>
      <c r="E231" s="14" t="str">
        <f t="array" ref="E231">IFERROR(OFFSET('名稱對照'!E$1,SMALL(IF(名稱_所屬洲別="EU",ROW(名稱_所屬洲別),""),row(230:230))-1,0),"")</f>
        <v/>
      </c>
      <c r="F231" s="16" t="str">
        <f t="array" ref="F231">IFERROR(OFFSET('名稱對照'!E$1,SMALL(IF(名稱_所屬洲別="WA",ROW(名稱_所屬洲別),""),row(230:230))-1,0),"")</f>
        <v/>
      </c>
      <c r="G231" s="14" t="str">
        <f t="array" ref="G231">IFERROR(OFFSET('名稱對照'!E$1,SMALL(IF(名稱_所屬洲別="AP",ROW(名稱_所屬洲別),""),row(230:230))-1,0),"")</f>
        <v/>
      </c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4" t="str">
        <f t="array" ref="B232">IFERROR(OFFSET('名稱對照'!E$1,SMALL(IF(名稱_所屬洲別="NA",ROW(名稱_所屬洲別),""),row(231:231))-1,0),"")</f>
        <v/>
      </c>
      <c r="C232" s="14" t="str">
        <f t="array" ref="C232">IFERROR(OFFSET('名稱對照'!E$1,SMALL(IF(名稱_所屬洲別="SA",ROW(名稱_所屬洲別),""),row(231:231))-1,0),"")</f>
        <v/>
      </c>
      <c r="D232" s="14" t="str">
        <f t="array" ref="D232">IFERROR(OFFSET('名稱對照'!E$1,SMALL(IF(名稱_所屬洲別="AF",ROW(名稱_所屬洲別),""),row(231:231))-1,0),"")</f>
        <v/>
      </c>
      <c r="E232" s="14" t="str">
        <f t="array" ref="E232">IFERROR(OFFSET('名稱對照'!E$1,SMALL(IF(名稱_所屬洲別="EU",ROW(名稱_所屬洲別),""),row(231:231))-1,0),"")</f>
        <v/>
      </c>
      <c r="F232" s="16" t="str">
        <f t="array" ref="F232">IFERROR(OFFSET('名稱對照'!E$1,SMALL(IF(名稱_所屬洲別="WA",ROW(名稱_所屬洲別),""),row(231:231))-1,0),"")</f>
        <v/>
      </c>
      <c r="G232" s="14" t="str">
        <f t="array" ref="G232">IFERROR(OFFSET('名稱對照'!E$1,SMALL(IF(名稱_所屬洲別="AP",ROW(名稱_所屬洲別),""),row(231:231))-1,0),"")</f>
        <v/>
      </c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4" t="str">
        <f t="array" ref="B233">IFERROR(OFFSET('名稱對照'!E$1,SMALL(IF(名稱_所屬洲別="NA",ROW(名稱_所屬洲別),""),row(232:232))-1,0),"")</f>
        <v/>
      </c>
      <c r="C233" s="14" t="str">
        <f t="array" ref="C233">IFERROR(OFFSET('名稱對照'!E$1,SMALL(IF(名稱_所屬洲別="SA",ROW(名稱_所屬洲別),""),row(232:232))-1,0),"")</f>
        <v/>
      </c>
      <c r="D233" s="14" t="str">
        <f t="array" ref="D233">IFERROR(OFFSET('名稱對照'!E$1,SMALL(IF(名稱_所屬洲別="AF",ROW(名稱_所屬洲別),""),row(232:232))-1,0),"")</f>
        <v/>
      </c>
      <c r="E233" s="14" t="str">
        <f t="array" ref="E233">IFERROR(OFFSET('名稱對照'!E$1,SMALL(IF(名稱_所屬洲別="EU",ROW(名稱_所屬洲別),""),row(232:232))-1,0),"")</f>
        <v/>
      </c>
      <c r="F233" s="16" t="str">
        <f t="array" ref="F233">IFERROR(OFFSET('名稱對照'!E$1,SMALL(IF(名稱_所屬洲別="WA",ROW(名稱_所屬洲別),""),row(232:232))-1,0),"")</f>
        <v/>
      </c>
      <c r="G233" s="14" t="str">
        <f t="array" ref="G233">IFERROR(OFFSET('名稱對照'!E$1,SMALL(IF(名稱_所屬洲別="AP",ROW(名稱_所屬洲別),""),row(232:232))-1,0),"")</f>
        <v/>
      </c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4" t="str">
        <f t="array" ref="B234">IFERROR(OFFSET('名稱對照'!E$1,SMALL(IF(名稱_所屬洲別="NA",ROW(名稱_所屬洲別),""),row(233:233))-1,0),"")</f>
        <v/>
      </c>
      <c r="C234" s="14" t="str">
        <f t="array" ref="C234">IFERROR(OFFSET('名稱對照'!E$1,SMALL(IF(名稱_所屬洲別="SA",ROW(名稱_所屬洲別),""),row(233:233))-1,0),"")</f>
        <v/>
      </c>
      <c r="D234" s="14" t="str">
        <f t="array" ref="D234">IFERROR(OFFSET('名稱對照'!E$1,SMALL(IF(名稱_所屬洲別="AF",ROW(名稱_所屬洲別),""),row(233:233))-1,0),"")</f>
        <v/>
      </c>
      <c r="E234" s="14" t="str">
        <f t="array" ref="E234">IFERROR(OFFSET('名稱對照'!E$1,SMALL(IF(名稱_所屬洲別="EU",ROW(名稱_所屬洲別),""),row(233:233))-1,0),"")</f>
        <v/>
      </c>
      <c r="F234" s="16" t="str">
        <f t="array" ref="F234">IFERROR(OFFSET('名稱對照'!E$1,SMALL(IF(名稱_所屬洲別="WA",ROW(名稱_所屬洲別),""),row(233:233))-1,0),"")</f>
        <v/>
      </c>
      <c r="G234" s="14" t="str">
        <f t="array" ref="G234">IFERROR(OFFSET('名稱對照'!E$1,SMALL(IF(名稱_所屬洲別="AP",ROW(名稱_所屬洲別),""),row(233:233))-1,0),"")</f>
        <v/>
      </c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4" t="str">
        <f t="array" ref="B235">IFERROR(OFFSET('名稱對照'!E$1,SMALL(IF(名稱_所屬洲別="NA",ROW(名稱_所屬洲別),""),row(234:234))-1,0),"")</f>
        <v/>
      </c>
      <c r="C235" s="14" t="str">
        <f t="array" ref="C235">IFERROR(OFFSET('名稱對照'!E$1,SMALL(IF(名稱_所屬洲別="SA",ROW(名稱_所屬洲別),""),row(234:234))-1,0),"")</f>
        <v/>
      </c>
      <c r="D235" s="14" t="str">
        <f t="array" ref="D235">IFERROR(OFFSET('名稱對照'!E$1,SMALL(IF(名稱_所屬洲別="AF",ROW(名稱_所屬洲別),""),row(234:234))-1,0),"")</f>
        <v/>
      </c>
      <c r="E235" s="14" t="str">
        <f t="array" ref="E235">IFERROR(OFFSET('名稱對照'!E$1,SMALL(IF(名稱_所屬洲別="EU",ROW(名稱_所屬洲別),""),row(234:234))-1,0),"")</f>
        <v/>
      </c>
      <c r="F235" s="16" t="str">
        <f t="array" ref="F235">IFERROR(OFFSET('名稱對照'!E$1,SMALL(IF(名稱_所屬洲別="WA",ROW(名稱_所屬洲別),""),row(234:234))-1,0),"")</f>
        <v/>
      </c>
      <c r="G235" s="14" t="str">
        <f t="array" ref="G235">IFERROR(OFFSET('名稱對照'!E$1,SMALL(IF(名稱_所屬洲別="AP",ROW(名稱_所屬洲別),""),row(234:234))-1,0),"")</f>
        <v/>
      </c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4" t="str">
        <f t="array" ref="B236">IFERROR(OFFSET('名稱對照'!E$1,SMALL(IF(名稱_所屬洲別="NA",ROW(名稱_所屬洲別),""),row(235:235))-1,0),"")</f>
        <v/>
      </c>
      <c r="C236" s="14" t="str">
        <f t="array" ref="C236">IFERROR(OFFSET('名稱對照'!E$1,SMALL(IF(名稱_所屬洲別="SA",ROW(名稱_所屬洲別),""),row(235:235))-1,0),"")</f>
        <v/>
      </c>
      <c r="D236" s="14" t="str">
        <f t="array" ref="D236">IFERROR(OFFSET('名稱對照'!E$1,SMALL(IF(名稱_所屬洲別="AF",ROW(名稱_所屬洲別),""),row(235:235))-1,0),"")</f>
        <v/>
      </c>
      <c r="E236" s="14" t="str">
        <f t="array" ref="E236">IFERROR(OFFSET('名稱對照'!E$1,SMALL(IF(名稱_所屬洲別="EU",ROW(名稱_所屬洲別),""),row(235:235))-1,0),"")</f>
        <v/>
      </c>
      <c r="F236" s="16" t="str">
        <f t="array" ref="F236">IFERROR(OFFSET('名稱對照'!E$1,SMALL(IF(名稱_所屬洲別="WA",ROW(名稱_所屬洲別),""),row(235:235))-1,0),"")</f>
        <v/>
      </c>
      <c r="G236" s="14" t="str">
        <f t="array" ref="G236">IFERROR(OFFSET('名稱對照'!E$1,SMALL(IF(名稱_所屬洲別="AP",ROW(名稱_所屬洲別),""),row(235:235))-1,0),"")</f>
        <v/>
      </c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4" t="str">
        <f t="array" ref="B237">IFERROR(OFFSET('名稱對照'!E$1,SMALL(IF(名稱_所屬洲別="NA",ROW(名稱_所屬洲別),""),row(236:236))-1,0),"")</f>
        <v/>
      </c>
      <c r="C237" s="14" t="str">
        <f t="array" ref="C237">IFERROR(OFFSET('名稱對照'!E$1,SMALL(IF(名稱_所屬洲別="SA",ROW(名稱_所屬洲別),""),row(236:236))-1,0),"")</f>
        <v/>
      </c>
      <c r="D237" s="14" t="str">
        <f t="array" ref="D237">IFERROR(OFFSET('名稱對照'!E$1,SMALL(IF(名稱_所屬洲別="AF",ROW(名稱_所屬洲別),""),row(236:236))-1,0),"")</f>
        <v/>
      </c>
      <c r="E237" s="14" t="str">
        <f t="array" ref="E237">IFERROR(OFFSET('名稱對照'!E$1,SMALL(IF(名稱_所屬洲別="EU",ROW(名稱_所屬洲別),""),row(236:236))-1,0),"")</f>
        <v/>
      </c>
      <c r="F237" s="16" t="str">
        <f t="array" ref="F237">IFERROR(OFFSET('名稱對照'!E$1,SMALL(IF(名稱_所屬洲別="WA",ROW(名稱_所屬洲別),""),row(236:236))-1,0),"")</f>
        <v/>
      </c>
      <c r="G237" s="14" t="str">
        <f t="array" ref="G237">IFERROR(OFFSET('名稱對照'!E$1,SMALL(IF(名稱_所屬洲別="AP",ROW(名稱_所屬洲別),""),row(236:236))-1,0),"")</f>
        <v/>
      </c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4" t="str">
        <f t="array" ref="B238">IFERROR(OFFSET('名稱對照'!E$1,SMALL(IF(名稱_所屬洲別="NA",ROW(名稱_所屬洲別),""),row(237:237))-1,0),"")</f>
        <v/>
      </c>
      <c r="C238" s="14" t="str">
        <f t="array" ref="C238">IFERROR(OFFSET('名稱對照'!E$1,SMALL(IF(名稱_所屬洲別="SA",ROW(名稱_所屬洲別),""),row(237:237))-1,0),"")</f>
        <v/>
      </c>
      <c r="D238" s="14" t="str">
        <f t="array" ref="D238">IFERROR(OFFSET('名稱對照'!E$1,SMALL(IF(名稱_所屬洲別="AF",ROW(名稱_所屬洲別),""),row(237:237))-1,0),"")</f>
        <v/>
      </c>
      <c r="E238" s="14" t="str">
        <f t="array" ref="E238">IFERROR(OFFSET('名稱對照'!E$1,SMALL(IF(名稱_所屬洲別="EU",ROW(名稱_所屬洲別),""),row(237:237))-1,0),"")</f>
        <v/>
      </c>
      <c r="F238" s="16" t="str">
        <f t="array" ref="F238">IFERROR(OFFSET('名稱對照'!E$1,SMALL(IF(名稱_所屬洲別="WA",ROW(名稱_所屬洲別),""),row(237:237))-1,0),"")</f>
        <v/>
      </c>
      <c r="G238" s="14" t="str">
        <f t="array" ref="G238">IFERROR(OFFSET('名稱對照'!E$1,SMALL(IF(名稱_所屬洲別="AP",ROW(名稱_所屬洲別),""),row(237:237))-1,0),"")</f>
        <v/>
      </c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4" t="str">
        <f t="array" ref="B239">IFERROR(OFFSET('名稱對照'!E$1,SMALL(IF(名稱_所屬洲別="NA",ROW(名稱_所屬洲別),""),row(238:238))-1,0),"")</f>
        <v/>
      </c>
      <c r="C239" s="14" t="str">
        <f t="array" ref="C239">IFERROR(OFFSET('名稱對照'!E$1,SMALL(IF(名稱_所屬洲別="SA",ROW(名稱_所屬洲別),""),row(238:238))-1,0),"")</f>
        <v/>
      </c>
      <c r="D239" s="14" t="str">
        <f t="array" ref="D239">IFERROR(OFFSET('名稱對照'!E$1,SMALL(IF(名稱_所屬洲別="AF",ROW(名稱_所屬洲別),""),row(238:238))-1,0),"")</f>
        <v/>
      </c>
      <c r="E239" s="14" t="str">
        <f t="array" ref="E239">IFERROR(OFFSET('名稱對照'!E$1,SMALL(IF(名稱_所屬洲別="EU",ROW(名稱_所屬洲別),""),row(238:238))-1,0),"")</f>
        <v/>
      </c>
      <c r="F239" s="16" t="str">
        <f t="array" ref="F239">IFERROR(OFFSET('名稱對照'!E$1,SMALL(IF(名稱_所屬洲別="WA",ROW(名稱_所屬洲別),""),row(238:238))-1,0),"")</f>
        <v/>
      </c>
      <c r="G239" s="14" t="str">
        <f t="array" ref="G239">IFERROR(OFFSET('名稱對照'!E$1,SMALL(IF(名稱_所屬洲別="AP",ROW(名稱_所屬洲別),""),row(238:238))-1,0),"")</f>
        <v/>
      </c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4" t="str">
        <f t="array" ref="B240">IFERROR(OFFSET('名稱對照'!E$1,SMALL(IF(名稱_所屬洲別="NA",ROW(名稱_所屬洲別),""),row(239:239))-1,0),"")</f>
        <v/>
      </c>
      <c r="C240" s="14" t="str">
        <f t="array" ref="C240">IFERROR(OFFSET('名稱對照'!E$1,SMALL(IF(名稱_所屬洲別="SA",ROW(名稱_所屬洲別),""),row(239:239))-1,0),"")</f>
        <v/>
      </c>
      <c r="D240" s="14" t="str">
        <f t="array" ref="D240">IFERROR(OFFSET('名稱對照'!E$1,SMALL(IF(名稱_所屬洲別="AF",ROW(名稱_所屬洲別),""),row(239:239))-1,0),"")</f>
        <v/>
      </c>
      <c r="E240" s="14" t="str">
        <f t="array" ref="E240">IFERROR(OFFSET('名稱對照'!E$1,SMALL(IF(名稱_所屬洲別="EU",ROW(名稱_所屬洲別),""),row(239:239))-1,0),"")</f>
        <v/>
      </c>
      <c r="F240" s="16" t="str">
        <f t="array" ref="F240">IFERROR(OFFSET('名稱對照'!E$1,SMALL(IF(名稱_所屬洲別="WA",ROW(名稱_所屬洲別),""),row(239:239))-1,0),"")</f>
        <v/>
      </c>
      <c r="G240" s="14" t="str">
        <f t="array" ref="G240">IFERROR(OFFSET('名稱對照'!E$1,SMALL(IF(名稱_所屬洲別="AP",ROW(名稱_所屬洲別),""),row(239:239))-1,0),"")</f>
        <v/>
      </c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4" t="str">
        <f t="array" ref="B241">IFERROR(OFFSET('名稱對照'!E$1,SMALL(IF(名稱_所屬洲別="NA",ROW(名稱_所屬洲別),""),row(240:240))-1,0),"")</f>
        <v/>
      </c>
      <c r="C241" s="14" t="str">
        <f t="array" ref="C241">IFERROR(OFFSET('名稱對照'!E$1,SMALL(IF(名稱_所屬洲別="SA",ROW(名稱_所屬洲別),""),row(240:240))-1,0),"")</f>
        <v/>
      </c>
      <c r="D241" s="14" t="str">
        <f t="array" ref="D241">IFERROR(OFFSET('名稱對照'!E$1,SMALL(IF(名稱_所屬洲別="AF",ROW(名稱_所屬洲別),""),row(240:240))-1,0),"")</f>
        <v/>
      </c>
      <c r="E241" s="14" t="str">
        <f t="array" ref="E241">IFERROR(OFFSET('名稱對照'!E$1,SMALL(IF(名稱_所屬洲別="EU",ROW(名稱_所屬洲別),""),row(240:240))-1,0),"")</f>
        <v/>
      </c>
      <c r="F241" s="16" t="str">
        <f t="array" ref="F241">IFERROR(OFFSET('名稱對照'!E$1,SMALL(IF(名稱_所屬洲別="WA",ROW(名稱_所屬洲別),""),row(240:240))-1,0),"")</f>
        <v/>
      </c>
      <c r="G241" s="14" t="str">
        <f t="array" ref="G241">IFERROR(OFFSET('名稱對照'!E$1,SMALL(IF(名稱_所屬洲別="AP",ROW(名稱_所屬洲別),""),row(240:240))-1,0),"")</f>
        <v/>
      </c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4" t="str">
        <f t="array" ref="B242">IFERROR(OFFSET('名稱對照'!E$1,SMALL(IF(名稱_所屬洲別="NA",ROW(名稱_所屬洲別),""),row(241:241))-1,0),"")</f>
        <v/>
      </c>
      <c r="C242" s="14" t="str">
        <f t="array" ref="C242">IFERROR(OFFSET('名稱對照'!E$1,SMALL(IF(名稱_所屬洲別="SA",ROW(名稱_所屬洲別),""),row(241:241))-1,0),"")</f>
        <v/>
      </c>
      <c r="D242" s="14" t="str">
        <f t="array" ref="D242">IFERROR(OFFSET('名稱對照'!E$1,SMALL(IF(名稱_所屬洲別="AF",ROW(名稱_所屬洲別),""),row(241:241))-1,0),"")</f>
        <v/>
      </c>
      <c r="E242" s="14" t="str">
        <f t="array" ref="E242">IFERROR(OFFSET('名稱對照'!E$1,SMALL(IF(名稱_所屬洲別="EU",ROW(名稱_所屬洲別),""),row(241:241))-1,0),"")</f>
        <v/>
      </c>
      <c r="F242" s="16" t="str">
        <f t="array" ref="F242">IFERROR(OFFSET('名稱對照'!E$1,SMALL(IF(名稱_所屬洲別="WA",ROW(名稱_所屬洲別),""),row(241:241))-1,0),"")</f>
        <v/>
      </c>
      <c r="G242" s="14" t="str">
        <f t="array" ref="G242">IFERROR(OFFSET('名稱對照'!E$1,SMALL(IF(名稱_所屬洲別="AP",ROW(名稱_所屬洲別),""),row(241:241))-1,0),"")</f>
        <v/>
      </c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4" t="str">
        <f t="array" ref="B243">IFERROR(OFFSET('名稱對照'!E$1,SMALL(IF(名稱_所屬洲別="NA",ROW(名稱_所屬洲別),""),row(242:242))-1,0),"")</f>
        <v/>
      </c>
      <c r="C243" s="14" t="str">
        <f t="array" ref="C243">IFERROR(OFFSET('名稱對照'!E$1,SMALL(IF(名稱_所屬洲別="SA",ROW(名稱_所屬洲別),""),row(242:242))-1,0),"")</f>
        <v/>
      </c>
      <c r="D243" s="14" t="str">
        <f t="array" ref="D243">IFERROR(OFFSET('名稱對照'!E$1,SMALL(IF(名稱_所屬洲別="AF",ROW(名稱_所屬洲別),""),row(242:242))-1,0),"")</f>
        <v/>
      </c>
      <c r="E243" s="14" t="str">
        <f t="array" ref="E243">IFERROR(OFFSET('名稱對照'!E$1,SMALL(IF(名稱_所屬洲別="EU",ROW(名稱_所屬洲別),""),row(242:242))-1,0),"")</f>
        <v/>
      </c>
      <c r="F243" s="16" t="str">
        <f t="array" ref="F243">IFERROR(OFFSET('名稱對照'!E$1,SMALL(IF(名稱_所屬洲別="WA",ROW(名稱_所屬洲別),""),row(242:242))-1,0),"")</f>
        <v/>
      </c>
      <c r="G243" s="14" t="str">
        <f t="array" ref="G243">IFERROR(OFFSET('名稱對照'!E$1,SMALL(IF(名稱_所屬洲別="AP",ROW(名稱_所屬洲別),""),row(242:242))-1,0),"")</f>
        <v/>
      </c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4" t="str">
        <f t="array" ref="B244">IFERROR(OFFSET('名稱對照'!E$1,SMALL(IF(名稱_所屬洲別="NA",ROW(名稱_所屬洲別),""),row(243:243))-1,0),"")</f>
        <v/>
      </c>
      <c r="C244" s="14" t="str">
        <f t="array" ref="C244">IFERROR(OFFSET('名稱對照'!E$1,SMALL(IF(名稱_所屬洲別="SA",ROW(名稱_所屬洲別),""),row(243:243))-1,0),"")</f>
        <v/>
      </c>
      <c r="D244" s="14" t="str">
        <f t="array" ref="D244">IFERROR(OFFSET('名稱對照'!E$1,SMALL(IF(名稱_所屬洲別="AF",ROW(名稱_所屬洲別),""),row(243:243))-1,0),"")</f>
        <v/>
      </c>
      <c r="E244" s="14" t="str">
        <f t="array" ref="E244">IFERROR(OFFSET('名稱對照'!E$1,SMALL(IF(名稱_所屬洲別="EU",ROW(名稱_所屬洲別),""),row(243:243))-1,0),"")</f>
        <v/>
      </c>
      <c r="F244" s="16" t="str">
        <f t="array" ref="F244">IFERROR(OFFSET('名稱對照'!E$1,SMALL(IF(名稱_所屬洲別="WA",ROW(名稱_所屬洲別),""),row(243:243))-1,0),"")</f>
        <v/>
      </c>
      <c r="G244" s="14" t="str">
        <f t="array" ref="G244">IFERROR(OFFSET('名稱對照'!E$1,SMALL(IF(名稱_所屬洲別="AP",ROW(名稱_所屬洲別),""),row(243:243))-1,0),"")</f>
        <v/>
      </c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4" t="str">
        <f t="array" ref="B245">IFERROR(OFFSET('名稱對照'!E$1,SMALL(IF(名稱_所屬洲別="NA",ROW(名稱_所屬洲別),""),row(244:244))-1,0),"")</f>
        <v/>
      </c>
      <c r="C245" s="14" t="str">
        <f t="array" ref="C245">IFERROR(OFFSET('名稱對照'!E$1,SMALL(IF(名稱_所屬洲別="SA",ROW(名稱_所屬洲別),""),row(244:244))-1,0),"")</f>
        <v/>
      </c>
      <c r="D245" s="14" t="str">
        <f t="array" ref="D245">IFERROR(OFFSET('名稱對照'!E$1,SMALL(IF(名稱_所屬洲別="AF",ROW(名稱_所屬洲別),""),row(244:244))-1,0),"")</f>
        <v/>
      </c>
      <c r="E245" s="14" t="str">
        <f t="array" ref="E245">IFERROR(OFFSET('名稱對照'!E$1,SMALL(IF(名稱_所屬洲別="EU",ROW(名稱_所屬洲別),""),row(244:244))-1,0),"")</f>
        <v/>
      </c>
      <c r="F245" s="16" t="str">
        <f t="array" ref="F245">IFERROR(OFFSET('名稱對照'!E$1,SMALL(IF(名稱_所屬洲別="WA",ROW(名稱_所屬洲別),""),row(244:244))-1,0),"")</f>
        <v/>
      </c>
      <c r="G245" s="14" t="str">
        <f t="array" ref="G245">IFERROR(OFFSET('名稱對照'!E$1,SMALL(IF(名稱_所屬洲別="AP",ROW(名稱_所屬洲別),""),row(244:244))-1,0),"")</f>
        <v/>
      </c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4" t="str">
        <f t="array" ref="B246">IFERROR(OFFSET('名稱對照'!E$1,SMALL(IF(名稱_所屬洲別="NA",ROW(名稱_所屬洲別),""),row(245:245))-1,0),"")</f>
        <v/>
      </c>
      <c r="C246" s="14" t="str">
        <f t="array" ref="C246">IFERROR(OFFSET('名稱對照'!E$1,SMALL(IF(名稱_所屬洲別="SA",ROW(名稱_所屬洲別),""),row(245:245))-1,0),"")</f>
        <v/>
      </c>
      <c r="D246" s="14" t="str">
        <f t="array" ref="D246">IFERROR(OFFSET('名稱對照'!E$1,SMALL(IF(名稱_所屬洲別="AF",ROW(名稱_所屬洲別),""),row(245:245))-1,0),"")</f>
        <v/>
      </c>
      <c r="E246" s="14" t="str">
        <f t="array" ref="E246">IFERROR(OFFSET('名稱對照'!E$1,SMALL(IF(名稱_所屬洲別="EU",ROW(名稱_所屬洲別),""),row(245:245))-1,0),"")</f>
        <v/>
      </c>
      <c r="F246" s="16" t="str">
        <f t="array" ref="F246">IFERROR(OFFSET('名稱對照'!E$1,SMALL(IF(名稱_所屬洲別="WA",ROW(名稱_所屬洲別),""),row(245:245))-1,0),"")</f>
        <v/>
      </c>
      <c r="G246" s="14" t="str">
        <f t="array" ref="G246">IFERROR(OFFSET('名稱對照'!E$1,SMALL(IF(名稱_所屬洲別="AP",ROW(名稱_所屬洲別),""),row(245:245))-1,0),"")</f>
        <v/>
      </c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4" t="str">
        <f t="array" ref="B247">IFERROR(OFFSET('名稱對照'!E$1,SMALL(IF(名稱_所屬洲別="NA",ROW(名稱_所屬洲別),""),row(246:246))-1,0),"")</f>
        <v/>
      </c>
      <c r="C247" s="14" t="str">
        <f t="array" ref="C247">IFERROR(OFFSET('名稱對照'!E$1,SMALL(IF(名稱_所屬洲別="SA",ROW(名稱_所屬洲別),""),row(246:246))-1,0),"")</f>
        <v/>
      </c>
      <c r="D247" s="14" t="str">
        <f t="array" ref="D247">IFERROR(OFFSET('名稱對照'!E$1,SMALL(IF(名稱_所屬洲別="AF",ROW(名稱_所屬洲別),""),row(246:246))-1,0),"")</f>
        <v/>
      </c>
      <c r="E247" s="14" t="str">
        <f t="array" ref="E247">IFERROR(OFFSET('名稱對照'!E$1,SMALL(IF(名稱_所屬洲別="EU",ROW(名稱_所屬洲別),""),row(246:246))-1,0),"")</f>
        <v/>
      </c>
      <c r="F247" s="16" t="str">
        <f t="array" ref="F247">IFERROR(OFFSET('名稱對照'!E$1,SMALL(IF(名稱_所屬洲別="WA",ROW(名稱_所屬洲別),""),row(246:246))-1,0),"")</f>
        <v/>
      </c>
      <c r="G247" s="14" t="str">
        <f t="array" ref="G247">IFERROR(OFFSET('名稱對照'!E$1,SMALL(IF(名稱_所屬洲別="AP",ROW(名稱_所屬洲別),""),row(246:246))-1,0),"")</f>
        <v/>
      </c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4" t="str">
        <f t="array" ref="B248">IFERROR(OFFSET('名稱對照'!E$1,SMALL(IF(名稱_所屬洲別="NA",ROW(名稱_所屬洲別),""),row(247:247))-1,0),"")</f>
        <v/>
      </c>
      <c r="C248" s="14" t="str">
        <f t="array" ref="C248">IFERROR(OFFSET('名稱對照'!E$1,SMALL(IF(名稱_所屬洲別="SA",ROW(名稱_所屬洲別),""),row(247:247))-1,0),"")</f>
        <v/>
      </c>
      <c r="D248" s="14" t="str">
        <f t="array" ref="D248">IFERROR(OFFSET('名稱對照'!E$1,SMALL(IF(名稱_所屬洲別="AF",ROW(名稱_所屬洲別),""),row(247:247))-1,0),"")</f>
        <v/>
      </c>
      <c r="E248" s="14" t="str">
        <f t="array" ref="E248">IFERROR(OFFSET('名稱對照'!E$1,SMALL(IF(名稱_所屬洲別="EU",ROW(名稱_所屬洲別),""),row(247:247))-1,0),"")</f>
        <v/>
      </c>
      <c r="F248" s="16" t="str">
        <f t="array" ref="F248">IFERROR(OFFSET('名稱對照'!E$1,SMALL(IF(名稱_所屬洲別="WA",ROW(名稱_所屬洲別),""),row(247:247))-1,0),"")</f>
        <v/>
      </c>
      <c r="G248" s="14" t="str">
        <f t="array" ref="G248">IFERROR(OFFSET('名稱對照'!E$1,SMALL(IF(名稱_所屬洲別="AP",ROW(名稱_所屬洲別),""),row(247:247))-1,0),"")</f>
        <v/>
      </c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4" t="str">
        <f t="array" ref="B249">IFERROR(OFFSET('名稱對照'!E$1,SMALL(IF(名稱_所屬洲別="NA",ROW(名稱_所屬洲別),""),row(248:248))-1,0),"")</f>
        <v/>
      </c>
      <c r="C249" s="14" t="str">
        <f t="array" ref="C249">IFERROR(OFFSET('名稱對照'!E$1,SMALL(IF(名稱_所屬洲別="SA",ROW(名稱_所屬洲別),""),row(248:248))-1,0),"")</f>
        <v/>
      </c>
      <c r="D249" s="14" t="str">
        <f t="array" ref="D249">IFERROR(OFFSET('名稱對照'!E$1,SMALL(IF(名稱_所屬洲別="AF",ROW(名稱_所屬洲別),""),row(248:248))-1,0),"")</f>
        <v/>
      </c>
      <c r="E249" s="14" t="str">
        <f t="array" ref="E249">IFERROR(OFFSET('名稱對照'!E$1,SMALL(IF(名稱_所屬洲別="EU",ROW(名稱_所屬洲別),""),row(248:248))-1,0),"")</f>
        <v/>
      </c>
      <c r="F249" s="16" t="str">
        <f t="array" ref="F249">IFERROR(OFFSET('名稱對照'!E$1,SMALL(IF(名稱_所屬洲別="WA",ROW(名稱_所屬洲別),""),row(248:248))-1,0),"")</f>
        <v/>
      </c>
      <c r="G249" s="14" t="str">
        <f t="array" ref="G249">IFERROR(OFFSET('名稱對照'!E$1,SMALL(IF(名稱_所屬洲別="AP",ROW(名稱_所屬洲別),""),row(248:248))-1,0),"")</f>
        <v/>
      </c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4" t="str">
        <f t="array" ref="B250">IFERROR(OFFSET('名稱對照'!E$1,SMALL(IF(名稱_所屬洲別="NA",ROW(名稱_所屬洲別),""),row(249:249))-1,0),"")</f>
        <v/>
      </c>
      <c r="C250" s="14" t="str">
        <f t="array" ref="C250">IFERROR(OFFSET('名稱對照'!E$1,SMALL(IF(名稱_所屬洲別="SA",ROW(名稱_所屬洲別),""),row(249:249))-1,0),"")</f>
        <v/>
      </c>
      <c r="D250" s="14" t="str">
        <f t="array" ref="D250">IFERROR(OFFSET('名稱對照'!E$1,SMALL(IF(名稱_所屬洲別="AF",ROW(名稱_所屬洲別),""),row(249:249))-1,0),"")</f>
        <v/>
      </c>
      <c r="E250" s="14" t="str">
        <f t="array" ref="E250">IFERROR(OFFSET('名稱對照'!E$1,SMALL(IF(名稱_所屬洲別="EU",ROW(名稱_所屬洲別),""),row(249:249))-1,0),"")</f>
        <v/>
      </c>
      <c r="F250" s="16" t="str">
        <f t="array" ref="F250">IFERROR(OFFSET('名稱對照'!E$1,SMALL(IF(名稱_所屬洲別="WA",ROW(名稱_所屬洲別),""),row(249:249))-1,0),"")</f>
        <v/>
      </c>
      <c r="G250" s="14" t="str">
        <f t="array" ref="G250">IFERROR(OFFSET('名稱對照'!E$1,SMALL(IF(名稱_所屬洲別="AP",ROW(名稱_所屬洲別),""),row(249:249))-1,0),"")</f>
        <v/>
      </c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4" t="str">
        <f t="array" ref="B251">IFERROR(OFFSET('名稱對照'!E$1,SMALL(IF(名稱_所屬洲別="NA",ROW(名稱_所屬洲別),""),row(250:250))-1,0),"")</f>
        <v/>
      </c>
      <c r="C251" s="14" t="str">
        <f t="array" ref="C251">IFERROR(OFFSET('名稱對照'!E$1,SMALL(IF(名稱_所屬洲別="SA",ROW(名稱_所屬洲別),""),row(250:250))-1,0),"")</f>
        <v/>
      </c>
      <c r="D251" s="14" t="str">
        <f t="array" ref="D251">IFERROR(OFFSET('名稱對照'!E$1,SMALL(IF(名稱_所屬洲別="AF",ROW(名稱_所屬洲別),""),row(250:250))-1,0),"")</f>
        <v/>
      </c>
      <c r="E251" s="14" t="str">
        <f t="array" ref="E251">IFERROR(OFFSET('名稱對照'!E$1,SMALL(IF(名稱_所屬洲別="EU",ROW(名稱_所屬洲別),""),row(250:250))-1,0),"")</f>
        <v/>
      </c>
      <c r="F251" s="16" t="str">
        <f t="array" ref="F251">IFERROR(OFFSET('名稱對照'!E$1,SMALL(IF(名稱_所屬洲別="WA",ROW(名稱_所屬洲別),""),row(250:250))-1,0),"")</f>
        <v/>
      </c>
      <c r="G251" s="14" t="str">
        <f t="array" ref="G251">IFERROR(OFFSET('名稱對照'!E$1,SMALL(IF(名稱_所屬洲別="AP",ROW(名稱_所屬洲別),""),row(250:250))-1,0),"")</f>
        <v/>
      </c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4" t="str">
        <f t="array" ref="B252">IFERROR(OFFSET('名稱對照'!E$1,SMALL(IF(名稱_所屬洲別="NA",ROW(名稱_所屬洲別),""),row(251:251))-1,0),"")</f>
        <v/>
      </c>
      <c r="C252" s="14" t="str">
        <f t="array" ref="C252">IFERROR(OFFSET('名稱對照'!E$1,SMALL(IF(名稱_所屬洲別="SA",ROW(名稱_所屬洲別),""),row(251:251))-1,0),"")</f>
        <v/>
      </c>
      <c r="D252" s="14" t="str">
        <f t="array" ref="D252">IFERROR(OFFSET('名稱對照'!E$1,SMALL(IF(名稱_所屬洲別="AF",ROW(名稱_所屬洲別),""),row(251:251))-1,0),"")</f>
        <v/>
      </c>
      <c r="E252" s="14" t="str">
        <f t="array" ref="E252">IFERROR(OFFSET('名稱對照'!E$1,SMALL(IF(名稱_所屬洲別="EU",ROW(名稱_所屬洲別),""),row(251:251))-1,0),"")</f>
        <v/>
      </c>
      <c r="F252" s="16" t="str">
        <f t="array" ref="F252">IFERROR(OFFSET('名稱對照'!E$1,SMALL(IF(名稱_所屬洲別="WA",ROW(名稱_所屬洲別),""),row(251:251))-1,0),"")</f>
        <v/>
      </c>
      <c r="G252" s="14" t="str">
        <f t="array" ref="G252">IFERROR(OFFSET('名稱對照'!E$1,SMALL(IF(名稱_所屬洲別="AP",ROW(名稱_所屬洲別),""),row(251:251))-1,0),"")</f>
        <v/>
      </c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4" t="str">
        <f t="array" ref="B253">IFERROR(OFFSET('名稱對照'!E$1,SMALL(IF(名稱_所屬洲別="NA",ROW(名稱_所屬洲別),""),row(252:252))-1,0),"")</f>
        <v/>
      </c>
      <c r="C253" s="14" t="str">
        <f t="array" ref="C253">IFERROR(OFFSET('名稱對照'!E$1,SMALL(IF(名稱_所屬洲別="SA",ROW(名稱_所屬洲別),""),row(252:252))-1,0),"")</f>
        <v/>
      </c>
      <c r="D253" s="14" t="str">
        <f t="array" ref="D253">IFERROR(OFFSET('名稱對照'!E$1,SMALL(IF(名稱_所屬洲別="AF",ROW(名稱_所屬洲別),""),row(252:252))-1,0),"")</f>
        <v/>
      </c>
      <c r="E253" s="14" t="str">
        <f t="array" ref="E253">IFERROR(OFFSET('名稱對照'!E$1,SMALL(IF(名稱_所屬洲別="EU",ROW(名稱_所屬洲別),""),row(252:252))-1,0),"")</f>
        <v/>
      </c>
      <c r="F253" s="16" t="str">
        <f t="array" ref="F253">IFERROR(OFFSET('名稱對照'!E$1,SMALL(IF(名稱_所屬洲別="WA",ROW(名稱_所屬洲別),""),row(252:252))-1,0),"")</f>
        <v/>
      </c>
      <c r="G253" s="14" t="str">
        <f t="array" ref="G253">IFERROR(OFFSET('名稱對照'!E$1,SMALL(IF(名稱_所屬洲別="AP",ROW(名稱_所屬洲別),""),row(252:252))-1,0),"")</f>
        <v/>
      </c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4" t="str">
        <f t="array" ref="B254">IFERROR(OFFSET('名稱對照'!E$1,SMALL(IF(名稱_所屬洲別="NA",ROW(名稱_所屬洲別),""),row(253:253))-1,0),"")</f>
        <v/>
      </c>
      <c r="C254" s="14" t="str">
        <f t="array" ref="C254">IFERROR(OFFSET('名稱對照'!E$1,SMALL(IF(名稱_所屬洲別="SA",ROW(名稱_所屬洲別),""),row(253:253))-1,0),"")</f>
        <v/>
      </c>
      <c r="D254" s="14" t="str">
        <f t="array" ref="D254">IFERROR(OFFSET('名稱對照'!E$1,SMALL(IF(名稱_所屬洲別="AF",ROW(名稱_所屬洲別),""),row(253:253))-1,0),"")</f>
        <v/>
      </c>
      <c r="E254" s="14" t="str">
        <f t="array" ref="E254">IFERROR(OFFSET('名稱對照'!E$1,SMALL(IF(名稱_所屬洲別="EU",ROW(名稱_所屬洲別),""),row(253:253))-1,0),"")</f>
        <v/>
      </c>
      <c r="F254" s="16" t="str">
        <f t="array" ref="F254">IFERROR(OFFSET('名稱對照'!E$1,SMALL(IF(名稱_所屬洲別="WA",ROW(名稱_所屬洲別),""),row(253:253))-1,0),"")</f>
        <v/>
      </c>
      <c r="G254" s="14" t="str">
        <f t="array" ref="G254">IFERROR(OFFSET('名稱對照'!E$1,SMALL(IF(名稱_所屬洲別="AP",ROW(名稱_所屬洲別),""),row(253:253))-1,0),"")</f>
        <v/>
      </c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4" t="str">
        <f t="array" ref="B255">IFERROR(OFFSET('名稱對照'!E$1,SMALL(IF(名稱_所屬洲別="NA",ROW(名稱_所屬洲別),""),row(254:254))-1,0),"")</f>
        <v/>
      </c>
      <c r="C255" s="14" t="str">
        <f t="array" ref="C255">IFERROR(OFFSET('名稱對照'!E$1,SMALL(IF(名稱_所屬洲別="SA",ROW(名稱_所屬洲別),""),row(254:254))-1,0),"")</f>
        <v/>
      </c>
      <c r="D255" s="14" t="str">
        <f t="array" ref="D255">IFERROR(OFFSET('名稱對照'!E$1,SMALL(IF(名稱_所屬洲別="AF",ROW(名稱_所屬洲別),""),row(254:254))-1,0),"")</f>
        <v/>
      </c>
      <c r="E255" s="14" t="str">
        <f t="array" ref="E255">IFERROR(OFFSET('名稱對照'!E$1,SMALL(IF(名稱_所屬洲別="EU",ROW(名稱_所屬洲別),""),row(254:254))-1,0),"")</f>
        <v/>
      </c>
      <c r="F255" s="16" t="str">
        <f t="array" ref="F255">IFERROR(OFFSET('名稱對照'!E$1,SMALL(IF(名稱_所屬洲別="WA",ROW(名稱_所屬洲別),""),row(254:254))-1,0),"")</f>
        <v/>
      </c>
      <c r="G255" s="14" t="str">
        <f t="array" ref="G255">IFERROR(OFFSET('名稱對照'!E$1,SMALL(IF(名稱_所屬洲別="AP",ROW(名稱_所屬洲別),""),row(254:254))-1,0),"")</f>
        <v/>
      </c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4" t="str">
        <f t="array" ref="B256">IFERROR(OFFSET('名稱對照'!E$1,SMALL(IF(名稱_所屬洲別="NA",ROW(名稱_所屬洲別),""),row(255:255))-1,0),"")</f>
        <v/>
      </c>
      <c r="C256" s="14" t="str">
        <f t="array" ref="C256">IFERROR(OFFSET('名稱對照'!E$1,SMALL(IF(名稱_所屬洲別="SA",ROW(名稱_所屬洲別),""),row(255:255))-1,0),"")</f>
        <v/>
      </c>
      <c r="D256" s="14" t="str">
        <f t="array" ref="D256">IFERROR(OFFSET('名稱對照'!E$1,SMALL(IF(名稱_所屬洲別="AF",ROW(名稱_所屬洲別),""),row(255:255))-1,0),"")</f>
        <v/>
      </c>
      <c r="E256" s="14" t="str">
        <f t="array" ref="E256">IFERROR(OFFSET('名稱對照'!E$1,SMALL(IF(名稱_所屬洲別="EU",ROW(名稱_所屬洲別),""),row(255:255))-1,0),"")</f>
        <v/>
      </c>
      <c r="F256" s="16" t="str">
        <f t="array" ref="F256">IFERROR(OFFSET('名稱對照'!E$1,SMALL(IF(名稱_所屬洲別="WA",ROW(名稱_所屬洲別),""),row(255:255))-1,0),"")</f>
        <v/>
      </c>
      <c r="G256" s="14" t="str">
        <f t="array" ref="G256">IFERROR(OFFSET('名稱對照'!E$1,SMALL(IF(名稱_所屬洲別="AP",ROW(名稱_所屬洲別),""),row(255:255))-1,0),"")</f>
        <v/>
      </c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4" t="str">
        <f t="array" ref="B257">IFERROR(OFFSET('名稱對照'!E$1,SMALL(IF(名稱_所屬洲別="NA",ROW(名稱_所屬洲別),""),row(256:256))-1,0),"")</f>
        <v/>
      </c>
      <c r="C257" s="14" t="str">
        <f t="array" ref="C257">IFERROR(OFFSET('名稱對照'!E$1,SMALL(IF(名稱_所屬洲別="SA",ROW(名稱_所屬洲別),""),row(256:256))-1,0),"")</f>
        <v/>
      </c>
      <c r="D257" s="14" t="str">
        <f t="array" ref="D257">IFERROR(OFFSET('名稱對照'!E$1,SMALL(IF(名稱_所屬洲別="AF",ROW(名稱_所屬洲別),""),row(256:256))-1,0),"")</f>
        <v/>
      </c>
      <c r="E257" s="14" t="str">
        <f t="array" ref="E257">IFERROR(OFFSET('名稱對照'!E$1,SMALL(IF(名稱_所屬洲別="EU",ROW(名稱_所屬洲別),""),row(256:256))-1,0),"")</f>
        <v/>
      </c>
      <c r="F257" s="16" t="str">
        <f t="array" ref="F257">IFERROR(OFFSET('名稱對照'!E$1,SMALL(IF(名稱_所屬洲別="WA",ROW(名稱_所屬洲別),""),row(256:256))-1,0),"")</f>
        <v/>
      </c>
      <c r="G257" s="14" t="str">
        <f t="array" ref="G257">IFERROR(OFFSET('名稱對照'!E$1,SMALL(IF(名稱_所屬洲別="AP",ROW(名稱_所屬洲別),""),row(256:256))-1,0),"")</f>
        <v/>
      </c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4" t="str">
        <f t="array" ref="B258">IFERROR(OFFSET('名稱對照'!E$1,SMALL(IF(名稱_所屬洲別="NA",ROW(名稱_所屬洲別),""),row(257:257))-1,0),"")</f>
        <v/>
      </c>
      <c r="C258" s="14" t="str">
        <f t="array" ref="C258">IFERROR(OFFSET('名稱對照'!E$1,SMALL(IF(名稱_所屬洲別="SA",ROW(名稱_所屬洲別),""),row(257:257))-1,0),"")</f>
        <v/>
      </c>
      <c r="D258" s="14" t="str">
        <f t="array" ref="D258">IFERROR(OFFSET('名稱對照'!E$1,SMALL(IF(名稱_所屬洲別="AF",ROW(名稱_所屬洲別),""),row(257:257))-1,0),"")</f>
        <v/>
      </c>
      <c r="E258" s="14" t="str">
        <f t="array" ref="E258">IFERROR(OFFSET('名稱對照'!E$1,SMALL(IF(名稱_所屬洲別="EU",ROW(名稱_所屬洲別),""),row(257:257))-1,0),"")</f>
        <v/>
      </c>
      <c r="F258" s="16" t="str">
        <f t="array" ref="F258">IFERROR(OFFSET('名稱對照'!E$1,SMALL(IF(名稱_所屬洲別="WA",ROW(名稱_所屬洲別),""),row(257:257))-1,0),"")</f>
        <v/>
      </c>
      <c r="G258" s="14" t="str">
        <f t="array" ref="G258">IFERROR(OFFSET('名稱對照'!E$1,SMALL(IF(名稱_所屬洲別="AP",ROW(名稱_所屬洲別),""),row(257:257))-1,0),"")</f>
        <v/>
      </c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4" t="str">
        <f t="array" ref="B259">IFERROR(OFFSET('名稱對照'!E$1,SMALL(IF(名稱_所屬洲別="NA",ROW(名稱_所屬洲別),""),row(258:258))-1,0),"")</f>
        <v/>
      </c>
      <c r="C259" s="14" t="str">
        <f t="array" ref="C259">IFERROR(OFFSET('名稱對照'!E$1,SMALL(IF(名稱_所屬洲別="SA",ROW(名稱_所屬洲別),""),row(258:258))-1,0),"")</f>
        <v/>
      </c>
      <c r="D259" s="14" t="str">
        <f t="array" ref="D259">IFERROR(OFFSET('名稱對照'!E$1,SMALL(IF(名稱_所屬洲別="AF",ROW(名稱_所屬洲別),""),row(258:258))-1,0),"")</f>
        <v/>
      </c>
      <c r="E259" s="14" t="str">
        <f t="array" ref="E259">IFERROR(OFFSET('名稱對照'!E$1,SMALL(IF(名稱_所屬洲別="EU",ROW(名稱_所屬洲別),""),row(258:258))-1,0),"")</f>
        <v/>
      </c>
      <c r="F259" s="16" t="str">
        <f t="array" ref="F259">IFERROR(OFFSET('名稱對照'!E$1,SMALL(IF(名稱_所屬洲別="WA",ROW(名稱_所屬洲別),""),row(258:258))-1,0),"")</f>
        <v/>
      </c>
      <c r="G259" s="14" t="str">
        <f t="array" ref="G259">IFERROR(OFFSET('名稱對照'!E$1,SMALL(IF(名稱_所屬洲別="AP",ROW(名稱_所屬洲別),""),row(258:258))-1,0),"")</f>
        <v/>
      </c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4" t="str">
        <f t="array" ref="B260">IFERROR(OFFSET('名稱對照'!E$1,SMALL(IF(名稱_所屬洲別="NA",ROW(名稱_所屬洲別),""),row(259:259))-1,0),"")</f>
        <v/>
      </c>
      <c r="C260" s="14" t="str">
        <f t="array" ref="C260">IFERROR(OFFSET('名稱對照'!E$1,SMALL(IF(名稱_所屬洲別="SA",ROW(名稱_所屬洲別),""),row(259:259))-1,0),"")</f>
        <v/>
      </c>
      <c r="D260" s="14" t="str">
        <f t="array" ref="D260">IFERROR(OFFSET('名稱對照'!E$1,SMALL(IF(名稱_所屬洲別="AF",ROW(名稱_所屬洲別),""),row(259:259))-1,0),"")</f>
        <v/>
      </c>
      <c r="E260" s="14" t="str">
        <f t="array" ref="E260">IFERROR(OFFSET('名稱對照'!E$1,SMALL(IF(名稱_所屬洲別="EU",ROW(名稱_所屬洲別),""),row(259:259))-1,0),"")</f>
        <v/>
      </c>
      <c r="F260" s="16" t="str">
        <f t="array" ref="F260">IFERROR(OFFSET('名稱對照'!E$1,SMALL(IF(名稱_所屬洲別="WA",ROW(名稱_所屬洲別),""),row(259:259))-1,0),"")</f>
        <v/>
      </c>
      <c r="G260" s="14" t="str">
        <f t="array" ref="G260">IFERROR(OFFSET('名稱對照'!E$1,SMALL(IF(名稱_所屬洲別="AP",ROW(名稱_所屬洲別),""),row(259:259))-1,0),"")</f>
        <v/>
      </c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4" t="str">
        <f t="array" ref="B261">IFERROR(OFFSET('名稱對照'!E$1,SMALL(IF(名稱_所屬洲別="NA",ROW(名稱_所屬洲別),""),row(260:260))-1,0),"")</f>
        <v/>
      </c>
      <c r="C261" s="14" t="str">
        <f t="array" ref="C261">IFERROR(OFFSET('名稱對照'!E$1,SMALL(IF(名稱_所屬洲別="SA",ROW(名稱_所屬洲別),""),row(260:260))-1,0),"")</f>
        <v/>
      </c>
      <c r="D261" s="14" t="str">
        <f t="array" ref="D261">IFERROR(OFFSET('名稱對照'!E$1,SMALL(IF(名稱_所屬洲別="AF",ROW(名稱_所屬洲別),""),row(260:260))-1,0),"")</f>
        <v/>
      </c>
      <c r="E261" s="14" t="str">
        <f t="array" ref="E261">IFERROR(OFFSET('名稱對照'!E$1,SMALL(IF(名稱_所屬洲別="EU",ROW(名稱_所屬洲別),""),row(260:260))-1,0),"")</f>
        <v/>
      </c>
      <c r="F261" s="16" t="str">
        <f t="array" ref="F261">IFERROR(OFFSET('名稱對照'!E$1,SMALL(IF(名稱_所屬洲別="WA",ROW(名稱_所屬洲別),""),row(260:260))-1,0),"")</f>
        <v/>
      </c>
      <c r="G261" s="14" t="str">
        <f t="array" ref="G261">IFERROR(OFFSET('名稱對照'!E$1,SMALL(IF(名稱_所屬洲別="AP",ROW(名稱_所屬洲別),""),row(260:260))-1,0),"")</f>
        <v/>
      </c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4" t="str">
        <f t="array" ref="B262">IFERROR(OFFSET('名稱對照'!E$1,SMALL(IF(名稱_所屬洲別="NA",ROW(名稱_所屬洲別),""),row(261:261))-1,0),"")</f>
        <v/>
      </c>
      <c r="C262" s="14" t="str">
        <f t="array" ref="C262">IFERROR(OFFSET('名稱對照'!E$1,SMALL(IF(名稱_所屬洲別="SA",ROW(名稱_所屬洲別),""),row(261:261))-1,0),"")</f>
        <v/>
      </c>
      <c r="D262" s="14" t="str">
        <f t="array" ref="D262">IFERROR(OFFSET('名稱對照'!E$1,SMALL(IF(名稱_所屬洲別="AF",ROW(名稱_所屬洲別),""),row(261:261))-1,0),"")</f>
        <v/>
      </c>
      <c r="E262" s="14" t="str">
        <f t="array" ref="E262">IFERROR(OFFSET('名稱對照'!E$1,SMALL(IF(名稱_所屬洲別="EU",ROW(名稱_所屬洲別),""),row(261:261))-1,0),"")</f>
        <v/>
      </c>
      <c r="F262" s="16" t="str">
        <f t="array" ref="F262">IFERROR(OFFSET('名稱對照'!E$1,SMALL(IF(名稱_所屬洲別="WA",ROW(名稱_所屬洲別),""),row(261:261))-1,0),"")</f>
        <v/>
      </c>
      <c r="G262" s="14" t="str">
        <f t="array" ref="G262">IFERROR(OFFSET('名稱對照'!E$1,SMALL(IF(名稱_所屬洲別="AP",ROW(名稱_所屬洲別),""),row(261:261))-1,0),"")</f>
        <v/>
      </c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4" t="str">
        <f t="array" ref="B263">IFERROR(OFFSET('名稱對照'!E$1,SMALL(IF(名稱_所屬洲別="NA",ROW(名稱_所屬洲別),""),row(262:262))-1,0),"")</f>
        <v/>
      </c>
      <c r="C263" s="14" t="str">
        <f t="array" ref="C263">IFERROR(OFFSET('名稱對照'!E$1,SMALL(IF(名稱_所屬洲別="SA",ROW(名稱_所屬洲別),""),row(262:262))-1,0),"")</f>
        <v/>
      </c>
      <c r="D263" s="14" t="str">
        <f t="array" ref="D263">IFERROR(OFFSET('名稱對照'!E$1,SMALL(IF(名稱_所屬洲別="AF",ROW(名稱_所屬洲別),""),row(262:262))-1,0),"")</f>
        <v/>
      </c>
      <c r="E263" s="14" t="str">
        <f t="array" ref="E263">IFERROR(OFFSET('名稱對照'!E$1,SMALL(IF(名稱_所屬洲別="EU",ROW(名稱_所屬洲別),""),row(262:262))-1,0),"")</f>
        <v/>
      </c>
      <c r="F263" s="16" t="str">
        <f t="array" ref="F263">IFERROR(OFFSET('名稱對照'!E$1,SMALL(IF(名稱_所屬洲別="WA",ROW(名稱_所屬洲別),""),row(262:262))-1,0),"")</f>
        <v/>
      </c>
      <c r="G263" s="14" t="str">
        <f t="array" ref="G263">IFERROR(OFFSET('名稱對照'!E$1,SMALL(IF(名稱_所屬洲別="AP",ROW(名稱_所屬洲別),""),row(262:262))-1,0),"")</f>
        <v/>
      </c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4" t="str">
        <f t="array" ref="B264">IFERROR(OFFSET('名稱對照'!E$1,SMALL(IF(名稱_所屬洲別="NA",ROW(名稱_所屬洲別),""),row(263:263))-1,0),"")</f>
        <v/>
      </c>
      <c r="C264" s="14" t="str">
        <f t="array" ref="C264">IFERROR(OFFSET('名稱對照'!E$1,SMALL(IF(名稱_所屬洲別="SA",ROW(名稱_所屬洲別),""),row(263:263))-1,0),"")</f>
        <v/>
      </c>
      <c r="D264" s="14" t="str">
        <f t="array" ref="D264">IFERROR(OFFSET('名稱對照'!E$1,SMALL(IF(名稱_所屬洲別="AF",ROW(名稱_所屬洲別),""),row(263:263))-1,0),"")</f>
        <v/>
      </c>
      <c r="E264" s="14" t="str">
        <f t="array" ref="E264">IFERROR(OFFSET('名稱對照'!E$1,SMALL(IF(名稱_所屬洲別="EU",ROW(名稱_所屬洲別),""),row(263:263))-1,0),"")</f>
        <v/>
      </c>
      <c r="F264" s="16" t="str">
        <f t="array" ref="F264">IFERROR(OFFSET('名稱對照'!E$1,SMALL(IF(名稱_所屬洲別="WA",ROW(名稱_所屬洲別),""),row(263:263))-1,0),"")</f>
        <v/>
      </c>
      <c r="G264" s="14" t="str">
        <f t="array" ref="G264">IFERROR(OFFSET('名稱對照'!E$1,SMALL(IF(名稱_所屬洲別="AP",ROW(名稱_所屬洲別),""),row(263:263))-1,0),"")</f>
        <v/>
      </c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4" t="str">
        <f t="array" ref="B265">IFERROR(OFFSET('名稱對照'!E$1,SMALL(IF(名稱_所屬洲別="NA",ROW(名稱_所屬洲別),""),row(264:264))-1,0),"")</f>
        <v/>
      </c>
      <c r="C265" s="14" t="str">
        <f t="array" ref="C265">IFERROR(OFFSET('名稱對照'!E$1,SMALL(IF(名稱_所屬洲別="SA",ROW(名稱_所屬洲別),""),row(264:264))-1,0),"")</f>
        <v/>
      </c>
      <c r="D265" s="14" t="str">
        <f t="array" ref="D265">IFERROR(OFFSET('名稱對照'!E$1,SMALL(IF(名稱_所屬洲別="AF",ROW(名稱_所屬洲別),""),row(264:264))-1,0),"")</f>
        <v/>
      </c>
      <c r="E265" s="14" t="str">
        <f t="array" ref="E265">IFERROR(OFFSET('名稱對照'!E$1,SMALL(IF(名稱_所屬洲別="EU",ROW(名稱_所屬洲別),""),row(264:264))-1,0),"")</f>
        <v/>
      </c>
      <c r="F265" s="16" t="str">
        <f t="array" ref="F265">IFERROR(OFFSET('名稱對照'!E$1,SMALL(IF(名稱_所屬洲別="WA",ROW(名稱_所屬洲別),""),row(264:264))-1,0),"")</f>
        <v/>
      </c>
      <c r="G265" s="14" t="str">
        <f t="array" ref="G265">IFERROR(OFFSET('名稱對照'!E$1,SMALL(IF(名稱_所屬洲別="AP",ROW(名稱_所屬洲別),""),row(264:264))-1,0),"")</f>
        <v/>
      </c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4" t="str">
        <f t="array" ref="B266">IFERROR(OFFSET('名稱對照'!E$1,SMALL(IF(名稱_所屬洲別="NA",ROW(名稱_所屬洲別),""),row(265:265))-1,0),"")</f>
        <v/>
      </c>
      <c r="C266" s="14" t="str">
        <f t="array" ref="C266">IFERROR(OFFSET('名稱對照'!E$1,SMALL(IF(名稱_所屬洲別="SA",ROW(名稱_所屬洲別),""),row(265:265))-1,0),"")</f>
        <v/>
      </c>
      <c r="D266" s="14" t="str">
        <f t="array" ref="D266">IFERROR(OFFSET('名稱對照'!E$1,SMALL(IF(名稱_所屬洲別="AF",ROW(名稱_所屬洲別),""),row(265:265))-1,0),"")</f>
        <v/>
      </c>
      <c r="E266" s="14" t="str">
        <f t="array" ref="E266">IFERROR(OFFSET('名稱對照'!E$1,SMALL(IF(名稱_所屬洲別="EU",ROW(名稱_所屬洲別),""),row(265:265))-1,0),"")</f>
        <v/>
      </c>
      <c r="F266" s="16" t="str">
        <f t="array" ref="F266">IFERROR(OFFSET('名稱對照'!E$1,SMALL(IF(名稱_所屬洲別="WA",ROW(名稱_所屬洲別),""),row(265:265))-1,0),"")</f>
        <v/>
      </c>
      <c r="G266" s="14" t="str">
        <f t="array" ref="G266">IFERROR(OFFSET('名稱對照'!E$1,SMALL(IF(名稱_所屬洲別="AP",ROW(名稱_所屬洲別),""),row(265:265))-1,0),"")</f>
        <v/>
      </c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4" t="str">
        <f t="array" ref="B267">IFERROR(OFFSET('名稱對照'!E$1,SMALL(IF(名稱_所屬洲別="NA",ROW(名稱_所屬洲別),""),row(266:266))-1,0),"")</f>
        <v/>
      </c>
      <c r="C267" s="14" t="str">
        <f t="array" ref="C267">IFERROR(OFFSET('名稱對照'!E$1,SMALL(IF(名稱_所屬洲別="SA",ROW(名稱_所屬洲別),""),row(266:266))-1,0),"")</f>
        <v/>
      </c>
      <c r="D267" s="14" t="str">
        <f t="array" ref="D267">IFERROR(OFFSET('名稱對照'!E$1,SMALL(IF(名稱_所屬洲別="AF",ROW(名稱_所屬洲別),""),row(266:266))-1,0),"")</f>
        <v/>
      </c>
      <c r="E267" s="14" t="str">
        <f t="array" ref="E267">IFERROR(OFFSET('名稱對照'!E$1,SMALL(IF(名稱_所屬洲別="EU",ROW(名稱_所屬洲別),""),row(266:266))-1,0),"")</f>
        <v/>
      </c>
      <c r="F267" s="16" t="str">
        <f t="array" ref="F267">IFERROR(OFFSET('名稱對照'!E$1,SMALL(IF(名稱_所屬洲別="WA",ROW(名稱_所屬洲別),""),row(266:266))-1,0),"")</f>
        <v/>
      </c>
      <c r="G267" s="14" t="str">
        <f t="array" ref="G267">IFERROR(OFFSET('名稱對照'!E$1,SMALL(IF(名稱_所屬洲別="AP",ROW(名稱_所屬洲別),""),row(266:266))-1,0),"")</f>
        <v/>
      </c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4" t="str">
        <f t="array" ref="B268">IFERROR(OFFSET('名稱對照'!E$1,SMALL(IF(名稱_所屬洲別="NA",ROW(名稱_所屬洲別),""),row(267:267))-1,0),"")</f>
        <v/>
      </c>
      <c r="C268" s="14" t="str">
        <f t="array" ref="C268">IFERROR(OFFSET('名稱對照'!E$1,SMALL(IF(名稱_所屬洲別="SA",ROW(名稱_所屬洲別),""),row(267:267))-1,0),"")</f>
        <v/>
      </c>
      <c r="D268" s="14" t="str">
        <f t="array" ref="D268">IFERROR(OFFSET('名稱對照'!E$1,SMALL(IF(名稱_所屬洲別="AF",ROW(名稱_所屬洲別),""),row(267:267))-1,0),"")</f>
        <v/>
      </c>
      <c r="E268" s="14" t="str">
        <f t="array" ref="E268">IFERROR(OFFSET('名稱對照'!E$1,SMALL(IF(名稱_所屬洲別="EU",ROW(名稱_所屬洲別),""),row(267:267))-1,0),"")</f>
        <v/>
      </c>
      <c r="F268" s="16" t="str">
        <f t="array" ref="F268">IFERROR(OFFSET('名稱對照'!E$1,SMALL(IF(名稱_所屬洲別="WA",ROW(名稱_所屬洲別),""),row(267:267))-1,0),"")</f>
        <v/>
      </c>
      <c r="G268" s="14" t="str">
        <f t="array" ref="G268">IFERROR(OFFSET('名稱對照'!E$1,SMALL(IF(名稱_所屬洲別="AP",ROW(名稱_所屬洲別),""),row(267:267))-1,0),"")</f>
        <v/>
      </c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4" t="str">
        <f t="array" ref="B269">IFERROR(OFFSET('名稱對照'!E$1,SMALL(IF(名稱_所屬洲別="NA",ROW(名稱_所屬洲別),""),row(268:268))-1,0),"")</f>
        <v/>
      </c>
      <c r="C269" s="14" t="str">
        <f t="array" ref="C269">IFERROR(OFFSET('名稱對照'!E$1,SMALL(IF(名稱_所屬洲別="SA",ROW(名稱_所屬洲別),""),row(268:268))-1,0),"")</f>
        <v/>
      </c>
      <c r="D269" s="14" t="str">
        <f t="array" ref="D269">IFERROR(OFFSET('名稱對照'!E$1,SMALL(IF(名稱_所屬洲別="AF",ROW(名稱_所屬洲別),""),row(268:268))-1,0),"")</f>
        <v/>
      </c>
      <c r="E269" s="14" t="str">
        <f t="array" ref="E269">IFERROR(OFFSET('名稱對照'!E$1,SMALL(IF(名稱_所屬洲別="EU",ROW(名稱_所屬洲別),""),row(268:268))-1,0),"")</f>
        <v/>
      </c>
      <c r="F269" s="16" t="str">
        <f t="array" ref="F269">IFERROR(OFFSET('名稱對照'!E$1,SMALL(IF(名稱_所屬洲別="WA",ROW(名稱_所屬洲別),""),row(268:268))-1,0),"")</f>
        <v/>
      </c>
      <c r="G269" s="14" t="str">
        <f t="array" ref="G269">IFERROR(OFFSET('名稱對照'!E$1,SMALL(IF(名稱_所屬洲別="AP",ROW(名稱_所屬洲別),""),row(268:268))-1,0),"")</f>
        <v/>
      </c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4" t="str">
        <f t="array" ref="B270">IFERROR(OFFSET('名稱對照'!E$1,SMALL(IF(名稱_所屬洲別="NA",ROW(名稱_所屬洲別),""),row(269:269))-1,0),"")</f>
        <v/>
      </c>
      <c r="C270" s="14" t="str">
        <f t="array" ref="C270">IFERROR(OFFSET('名稱對照'!E$1,SMALL(IF(名稱_所屬洲別="SA",ROW(名稱_所屬洲別),""),row(269:269))-1,0),"")</f>
        <v/>
      </c>
      <c r="D270" s="14" t="str">
        <f t="array" ref="D270">IFERROR(OFFSET('名稱對照'!E$1,SMALL(IF(名稱_所屬洲別="AF",ROW(名稱_所屬洲別),""),row(269:269))-1,0),"")</f>
        <v/>
      </c>
      <c r="E270" s="14" t="str">
        <f t="array" ref="E270">IFERROR(OFFSET('名稱對照'!E$1,SMALL(IF(名稱_所屬洲別="EU",ROW(名稱_所屬洲別),""),row(269:269))-1,0),"")</f>
        <v/>
      </c>
      <c r="F270" s="16" t="str">
        <f t="array" ref="F270">IFERROR(OFFSET('名稱對照'!E$1,SMALL(IF(名稱_所屬洲別="WA",ROW(名稱_所屬洲別),""),row(269:269))-1,0),"")</f>
        <v/>
      </c>
      <c r="G270" s="14" t="str">
        <f t="array" ref="G270">IFERROR(OFFSET('名稱對照'!E$1,SMALL(IF(名稱_所屬洲別="AP",ROW(名稱_所屬洲別),""),row(269:269))-1,0),"")</f>
        <v/>
      </c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4" t="str">
        <f t="array" ref="B271">IFERROR(OFFSET('名稱對照'!E$1,SMALL(IF(名稱_所屬洲別="NA",ROW(名稱_所屬洲別),""),row(270:270))-1,0),"")</f>
        <v/>
      </c>
      <c r="C271" s="14" t="str">
        <f t="array" ref="C271">IFERROR(OFFSET('名稱對照'!E$1,SMALL(IF(名稱_所屬洲別="SA",ROW(名稱_所屬洲別),""),row(270:270))-1,0),"")</f>
        <v/>
      </c>
      <c r="D271" s="14" t="str">
        <f t="array" ref="D271">IFERROR(OFFSET('名稱對照'!E$1,SMALL(IF(名稱_所屬洲別="AF",ROW(名稱_所屬洲別),""),row(270:270))-1,0),"")</f>
        <v/>
      </c>
      <c r="E271" s="14" t="str">
        <f t="array" ref="E271">IFERROR(OFFSET('名稱對照'!E$1,SMALL(IF(名稱_所屬洲別="EU",ROW(名稱_所屬洲別),""),row(270:270))-1,0),"")</f>
        <v/>
      </c>
      <c r="F271" s="16" t="str">
        <f t="array" ref="F271">IFERROR(OFFSET('名稱對照'!E$1,SMALL(IF(名稱_所屬洲別="WA",ROW(名稱_所屬洲別),""),row(270:270))-1,0),"")</f>
        <v/>
      </c>
      <c r="G271" s="14" t="str">
        <f t="array" ref="G271">IFERROR(OFFSET('名稱對照'!E$1,SMALL(IF(名稱_所屬洲別="AP",ROW(名稱_所屬洲別),""),row(270:270))-1,0),"")</f>
        <v/>
      </c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4" t="str">
        <f t="array" ref="B272">IFERROR(OFFSET('名稱對照'!E$1,SMALL(IF(名稱_所屬洲別="NA",ROW(名稱_所屬洲別),""),row(271:271))-1,0),"")</f>
        <v/>
      </c>
      <c r="C272" s="14" t="str">
        <f t="array" ref="C272">IFERROR(OFFSET('名稱對照'!E$1,SMALL(IF(名稱_所屬洲別="SA",ROW(名稱_所屬洲別),""),row(271:271))-1,0),"")</f>
        <v/>
      </c>
      <c r="D272" s="14" t="str">
        <f t="array" ref="D272">IFERROR(OFFSET('名稱對照'!E$1,SMALL(IF(名稱_所屬洲別="AF",ROW(名稱_所屬洲別),""),row(271:271))-1,0),"")</f>
        <v/>
      </c>
      <c r="E272" s="14" t="str">
        <f t="array" ref="E272">IFERROR(OFFSET('名稱對照'!E$1,SMALL(IF(名稱_所屬洲別="EU",ROW(名稱_所屬洲別),""),row(271:271))-1,0),"")</f>
        <v/>
      </c>
      <c r="F272" s="16" t="str">
        <f t="array" ref="F272">IFERROR(OFFSET('名稱對照'!E$1,SMALL(IF(名稱_所屬洲別="WA",ROW(名稱_所屬洲別),""),row(271:271))-1,0),"")</f>
        <v/>
      </c>
      <c r="G272" s="14" t="str">
        <f t="array" ref="G272">IFERROR(OFFSET('名稱對照'!E$1,SMALL(IF(名稱_所屬洲別="AP",ROW(名稱_所屬洲別),""),row(271:271))-1,0),"")</f>
        <v/>
      </c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4" t="str">
        <f t="array" ref="B273">IFERROR(OFFSET('名稱對照'!E$1,SMALL(IF(名稱_所屬洲別="NA",ROW(名稱_所屬洲別),""),row(272:272))-1,0),"")</f>
        <v/>
      </c>
      <c r="C273" s="14" t="str">
        <f t="array" ref="C273">IFERROR(OFFSET('名稱對照'!E$1,SMALL(IF(名稱_所屬洲別="SA",ROW(名稱_所屬洲別),""),row(272:272))-1,0),"")</f>
        <v/>
      </c>
      <c r="D273" s="14" t="str">
        <f t="array" ref="D273">IFERROR(OFFSET('名稱對照'!E$1,SMALL(IF(名稱_所屬洲別="AF",ROW(名稱_所屬洲別),""),row(272:272))-1,0),"")</f>
        <v/>
      </c>
      <c r="E273" s="14" t="str">
        <f t="array" ref="E273">IFERROR(OFFSET('名稱對照'!E$1,SMALL(IF(名稱_所屬洲別="EU",ROW(名稱_所屬洲別),""),row(272:272))-1,0),"")</f>
        <v/>
      </c>
      <c r="F273" s="16" t="str">
        <f t="array" ref="F273">IFERROR(OFFSET('名稱對照'!E$1,SMALL(IF(名稱_所屬洲別="WA",ROW(名稱_所屬洲別),""),row(272:272))-1,0),"")</f>
        <v/>
      </c>
      <c r="G273" s="14" t="str">
        <f t="array" ref="G273">IFERROR(OFFSET('名稱對照'!E$1,SMALL(IF(名稱_所屬洲別="AP",ROW(名稱_所屬洲別),""),row(272:272))-1,0),"")</f>
        <v/>
      </c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4" t="str">
        <f t="array" ref="B274">IFERROR(OFFSET('名稱對照'!E$1,SMALL(IF(名稱_所屬洲別="NA",ROW(名稱_所屬洲別),""),row(273:273))-1,0),"")</f>
        <v/>
      </c>
      <c r="C274" s="14" t="str">
        <f t="array" ref="C274">IFERROR(OFFSET('名稱對照'!E$1,SMALL(IF(名稱_所屬洲別="SA",ROW(名稱_所屬洲別),""),row(273:273))-1,0),"")</f>
        <v/>
      </c>
      <c r="D274" s="14" t="str">
        <f t="array" ref="D274">IFERROR(OFFSET('名稱對照'!E$1,SMALL(IF(名稱_所屬洲別="AF",ROW(名稱_所屬洲別),""),row(273:273))-1,0),"")</f>
        <v/>
      </c>
      <c r="E274" s="14" t="str">
        <f t="array" ref="E274">IFERROR(OFFSET('名稱對照'!E$1,SMALL(IF(名稱_所屬洲別="EU",ROW(名稱_所屬洲別),""),row(273:273))-1,0),"")</f>
        <v/>
      </c>
      <c r="F274" s="16" t="str">
        <f t="array" ref="F274">IFERROR(OFFSET('名稱對照'!E$1,SMALL(IF(名稱_所屬洲別="WA",ROW(名稱_所屬洲別),""),row(273:273))-1,0),"")</f>
        <v/>
      </c>
      <c r="G274" s="14" t="str">
        <f t="array" ref="G274">IFERROR(OFFSET('名稱對照'!E$1,SMALL(IF(名稱_所屬洲別="AP",ROW(名稱_所屬洲別),""),row(273:273))-1,0),"")</f>
        <v/>
      </c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4" t="str">
        <f t="array" ref="B275">IFERROR(OFFSET('名稱對照'!E$1,SMALL(IF(名稱_所屬洲別="NA",ROW(名稱_所屬洲別),""),row(274:274))-1,0),"")</f>
        <v/>
      </c>
      <c r="C275" s="14" t="str">
        <f t="array" ref="C275">IFERROR(OFFSET('名稱對照'!E$1,SMALL(IF(名稱_所屬洲別="SA",ROW(名稱_所屬洲別),""),row(274:274))-1,0),"")</f>
        <v/>
      </c>
      <c r="D275" s="14" t="str">
        <f t="array" ref="D275">IFERROR(OFFSET('名稱對照'!E$1,SMALL(IF(名稱_所屬洲別="AF",ROW(名稱_所屬洲別),""),row(274:274))-1,0),"")</f>
        <v/>
      </c>
      <c r="E275" s="14" t="str">
        <f t="array" ref="E275">IFERROR(OFFSET('名稱對照'!E$1,SMALL(IF(名稱_所屬洲別="EU",ROW(名稱_所屬洲別),""),row(274:274))-1,0),"")</f>
        <v/>
      </c>
      <c r="F275" s="16" t="str">
        <f t="array" ref="F275">IFERROR(OFFSET('名稱對照'!E$1,SMALL(IF(名稱_所屬洲別="WA",ROW(名稱_所屬洲別),""),row(274:274))-1,0),"")</f>
        <v/>
      </c>
      <c r="G275" s="14" t="str">
        <f t="array" ref="G275">IFERROR(OFFSET('名稱對照'!E$1,SMALL(IF(名稱_所屬洲別="AP",ROW(名稱_所屬洲別),""),row(274:274))-1,0),"")</f>
        <v/>
      </c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4" t="str">
        <f t="array" ref="B276">IFERROR(OFFSET('名稱對照'!E$1,SMALL(IF(名稱_所屬洲別="NA",ROW(名稱_所屬洲別),""),row(275:275))-1,0),"")</f>
        <v/>
      </c>
      <c r="C276" s="14" t="str">
        <f t="array" ref="C276">IFERROR(OFFSET('名稱對照'!E$1,SMALL(IF(名稱_所屬洲別="SA",ROW(名稱_所屬洲別),""),row(275:275))-1,0),"")</f>
        <v/>
      </c>
      <c r="D276" s="14" t="str">
        <f t="array" ref="D276">IFERROR(OFFSET('名稱對照'!E$1,SMALL(IF(名稱_所屬洲別="AF",ROW(名稱_所屬洲別),""),row(275:275))-1,0),"")</f>
        <v/>
      </c>
      <c r="E276" s="14" t="str">
        <f t="array" ref="E276">IFERROR(OFFSET('名稱對照'!E$1,SMALL(IF(名稱_所屬洲別="EU",ROW(名稱_所屬洲別),""),row(275:275))-1,0),"")</f>
        <v/>
      </c>
      <c r="F276" s="16" t="str">
        <f t="array" ref="F276">IFERROR(OFFSET('名稱對照'!E$1,SMALL(IF(名稱_所屬洲別="WA",ROW(名稱_所屬洲別),""),row(275:275))-1,0),"")</f>
        <v/>
      </c>
      <c r="G276" s="14" t="str">
        <f t="array" ref="G276">IFERROR(OFFSET('名稱對照'!E$1,SMALL(IF(名稱_所屬洲別="AP",ROW(名稱_所屬洲別),""),row(275:275))-1,0),"")</f>
        <v/>
      </c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4" t="str">
        <f t="array" ref="B277">IFERROR(OFFSET('名稱對照'!E$1,SMALL(IF(名稱_所屬洲別="NA",ROW(名稱_所屬洲別),""),row(276:276))-1,0),"")</f>
        <v/>
      </c>
      <c r="C277" s="14" t="str">
        <f t="array" ref="C277">IFERROR(OFFSET('名稱對照'!E$1,SMALL(IF(名稱_所屬洲別="SA",ROW(名稱_所屬洲別),""),row(276:276))-1,0),"")</f>
        <v/>
      </c>
      <c r="D277" s="14" t="str">
        <f t="array" ref="D277">IFERROR(OFFSET('名稱對照'!E$1,SMALL(IF(名稱_所屬洲別="AF",ROW(名稱_所屬洲別),""),row(276:276))-1,0),"")</f>
        <v/>
      </c>
      <c r="E277" s="14" t="str">
        <f t="array" ref="E277">IFERROR(OFFSET('名稱對照'!E$1,SMALL(IF(名稱_所屬洲別="EU",ROW(名稱_所屬洲別),""),row(276:276))-1,0),"")</f>
        <v/>
      </c>
      <c r="F277" s="16" t="str">
        <f t="array" ref="F277">IFERROR(OFFSET('名稱對照'!E$1,SMALL(IF(名稱_所屬洲別="WA",ROW(名稱_所屬洲別),""),row(276:276))-1,0),"")</f>
        <v/>
      </c>
      <c r="G277" s="14" t="str">
        <f t="array" ref="G277">IFERROR(OFFSET('名稱對照'!E$1,SMALL(IF(名稱_所屬洲別="AP",ROW(名稱_所屬洲別),""),row(276:276))-1,0),"")</f>
        <v/>
      </c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4" t="str">
        <f t="array" ref="B278">IFERROR(OFFSET('名稱對照'!E$1,SMALL(IF(名稱_所屬洲別="NA",ROW(名稱_所屬洲別),""),row(277:277))-1,0),"")</f>
        <v/>
      </c>
      <c r="C278" s="14" t="str">
        <f t="array" ref="C278">IFERROR(OFFSET('名稱對照'!E$1,SMALL(IF(名稱_所屬洲別="SA",ROW(名稱_所屬洲別),""),row(277:277))-1,0),"")</f>
        <v/>
      </c>
      <c r="D278" s="14" t="str">
        <f t="array" ref="D278">IFERROR(OFFSET('名稱對照'!E$1,SMALL(IF(名稱_所屬洲別="AF",ROW(名稱_所屬洲別),""),row(277:277))-1,0),"")</f>
        <v/>
      </c>
      <c r="E278" s="14" t="str">
        <f t="array" ref="E278">IFERROR(OFFSET('名稱對照'!E$1,SMALL(IF(名稱_所屬洲別="EU",ROW(名稱_所屬洲別),""),row(277:277))-1,0),"")</f>
        <v/>
      </c>
      <c r="F278" s="16" t="str">
        <f t="array" ref="F278">IFERROR(OFFSET('名稱對照'!E$1,SMALL(IF(名稱_所屬洲別="WA",ROW(名稱_所屬洲別),""),row(277:277))-1,0),"")</f>
        <v/>
      </c>
      <c r="G278" s="14" t="str">
        <f t="array" ref="G278">IFERROR(OFFSET('名稱對照'!E$1,SMALL(IF(名稱_所屬洲別="AP",ROW(名稱_所屬洲別),""),row(277:277))-1,0),"")</f>
        <v/>
      </c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4" t="str">
        <f t="array" ref="B279">IFERROR(OFFSET('名稱對照'!E$1,SMALL(IF(名稱_所屬洲別="NA",ROW(名稱_所屬洲別),""),row(278:278))-1,0),"")</f>
        <v/>
      </c>
      <c r="C279" s="14" t="str">
        <f t="array" ref="C279">IFERROR(OFFSET('名稱對照'!E$1,SMALL(IF(名稱_所屬洲別="SA",ROW(名稱_所屬洲別),""),row(278:278))-1,0),"")</f>
        <v/>
      </c>
      <c r="D279" s="14" t="str">
        <f t="array" ref="D279">IFERROR(OFFSET('名稱對照'!E$1,SMALL(IF(名稱_所屬洲別="AF",ROW(名稱_所屬洲別),""),row(278:278))-1,0),"")</f>
        <v/>
      </c>
      <c r="E279" s="14" t="str">
        <f t="array" ref="E279">IFERROR(OFFSET('名稱對照'!E$1,SMALL(IF(名稱_所屬洲別="EU",ROW(名稱_所屬洲別),""),row(278:278))-1,0),"")</f>
        <v/>
      </c>
      <c r="F279" s="16" t="str">
        <f t="array" ref="F279">IFERROR(OFFSET('名稱對照'!E$1,SMALL(IF(名稱_所屬洲別="WA",ROW(名稱_所屬洲別),""),row(278:278))-1,0),"")</f>
        <v/>
      </c>
      <c r="G279" s="14" t="str">
        <f t="array" ref="G279">IFERROR(OFFSET('名稱對照'!E$1,SMALL(IF(名稱_所屬洲別="AP",ROW(名稱_所屬洲別),""),row(278:278))-1,0),"")</f>
        <v/>
      </c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4" t="str">
        <f t="array" ref="B280">IFERROR(OFFSET('名稱對照'!E$1,SMALL(IF(名稱_所屬洲別="NA",ROW(名稱_所屬洲別),""),row(279:279))-1,0),"")</f>
        <v/>
      </c>
      <c r="C280" s="14" t="str">
        <f t="array" ref="C280">IFERROR(OFFSET('名稱對照'!E$1,SMALL(IF(名稱_所屬洲別="SA",ROW(名稱_所屬洲別),""),row(279:279))-1,0),"")</f>
        <v/>
      </c>
      <c r="D280" s="14" t="str">
        <f t="array" ref="D280">IFERROR(OFFSET('名稱對照'!E$1,SMALL(IF(名稱_所屬洲別="AF",ROW(名稱_所屬洲別),""),row(279:279))-1,0),"")</f>
        <v/>
      </c>
      <c r="E280" s="14" t="str">
        <f t="array" ref="E280">IFERROR(OFFSET('名稱對照'!E$1,SMALL(IF(名稱_所屬洲別="EU",ROW(名稱_所屬洲別),""),row(279:279))-1,0),"")</f>
        <v/>
      </c>
      <c r="F280" s="16" t="str">
        <f t="array" ref="F280">IFERROR(OFFSET('名稱對照'!E$1,SMALL(IF(名稱_所屬洲別="WA",ROW(名稱_所屬洲別),""),row(279:279))-1,0),"")</f>
        <v/>
      </c>
      <c r="G280" s="14" t="str">
        <f t="array" ref="G280">IFERROR(OFFSET('名稱對照'!E$1,SMALL(IF(名稱_所屬洲別="AP",ROW(名稱_所屬洲別),""),row(279:279))-1,0),"")</f>
        <v/>
      </c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4" t="str">
        <f t="array" ref="B281">IFERROR(OFFSET('名稱對照'!E$1,SMALL(IF(名稱_所屬洲別="NA",ROW(名稱_所屬洲別),""),row(280:280))-1,0),"")</f>
        <v/>
      </c>
      <c r="C281" s="14" t="str">
        <f t="array" ref="C281">IFERROR(OFFSET('名稱對照'!E$1,SMALL(IF(名稱_所屬洲別="SA",ROW(名稱_所屬洲別),""),row(280:280))-1,0),"")</f>
        <v/>
      </c>
      <c r="D281" s="14" t="str">
        <f t="array" ref="D281">IFERROR(OFFSET('名稱對照'!E$1,SMALL(IF(名稱_所屬洲別="AF",ROW(名稱_所屬洲別),""),row(280:280))-1,0),"")</f>
        <v/>
      </c>
      <c r="E281" s="14" t="str">
        <f t="array" ref="E281">IFERROR(OFFSET('名稱對照'!E$1,SMALL(IF(名稱_所屬洲別="EU",ROW(名稱_所屬洲別),""),row(280:280))-1,0),"")</f>
        <v/>
      </c>
      <c r="F281" s="16" t="str">
        <f t="array" ref="F281">IFERROR(OFFSET('名稱對照'!E$1,SMALL(IF(名稱_所屬洲別="WA",ROW(名稱_所屬洲別),""),row(280:280))-1,0),"")</f>
        <v/>
      </c>
      <c r="G281" s="14" t="str">
        <f t="array" ref="G281">IFERROR(OFFSET('名稱對照'!E$1,SMALL(IF(名稱_所屬洲別="AP",ROW(名稱_所屬洲別),""),row(280:280))-1,0),"")</f>
        <v/>
      </c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4" t="str">
        <f t="array" ref="B282">IFERROR(OFFSET('名稱對照'!E$1,SMALL(IF(名稱_所屬洲別="NA",ROW(名稱_所屬洲別),""),row(281:281))-1,0),"")</f>
        <v/>
      </c>
      <c r="C282" s="14" t="str">
        <f t="array" ref="C282">IFERROR(OFFSET('名稱對照'!E$1,SMALL(IF(名稱_所屬洲別="SA",ROW(名稱_所屬洲別),""),row(281:281))-1,0),"")</f>
        <v/>
      </c>
      <c r="D282" s="14" t="str">
        <f t="array" ref="D282">IFERROR(OFFSET('名稱對照'!E$1,SMALL(IF(名稱_所屬洲別="AF",ROW(名稱_所屬洲別),""),row(281:281))-1,0),"")</f>
        <v/>
      </c>
      <c r="E282" s="14" t="str">
        <f t="array" ref="E282">IFERROR(OFFSET('名稱對照'!E$1,SMALL(IF(名稱_所屬洲別="EU",ROW(名稱_所屬洲別),""),row(281:281))-1,0),"")</f>
        <v/>
      </c>
      <c r="F282" s="16" t="str">
        <f t="array" ref="F282">IFERROR(OFFSET('名稱對照'!E$1,SMALL(IF(名稱_所屬洲別="WA",ROW(名稱_所屬洲別),""),row(281:281))-1,0),"")</f>
        <v/>
      </c>
      <c r="G282" s="14" t="str">
        <f t="array" ref="G282">IFERROR(OFFSET('名稱對照'!E$1,SMALL(IF(名稱_所屬洲別="AP",ROW(名稱_所屬洲別),""),row(281:281))-1,0),"")</f>
        <v/>
      </c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4" t="str">
        <f t="array" ref="B283">IFERROR(OFFSET('名稱對照'!E$1,SMALL(IF(名稱_所屬洲別="NA",ROW(名稱_所屬洲別),""),row(282:282))-1,0),"")</f>
        <v/>
      </c>
      <c r="C283" s="14" t="str">
        <f t="array" ref="C283">IFERROR(OFFSET('名稱對照'!E$1,SMALL(IF(名稱_所屬洲別="SA",ROW(名稱_所屬洲別),""),row(282:282))-1,0),"")</f>
        <v/>
      </c>
      <c r="D283" s="14" t="str">
        <f t="array" ref="D283">IFERROR(OFFSET('名稱對照'!E$1,SMALL(IF(名稱_所屬洲別="AF",ROW(名稱_所屬洲別),""),row(282:282))-1,0),"")</f>
        <v/>
      </c>
      <c r="E283" s="14" t="str">
        <f t="array" ref="E283">IFERROR(OFFSET('名稱對照'!E$1,SMALL(IF(名稱_所屬洲別="EU",ROW(名稱_所屬洲別),""),row(282:282))-1,0),"")</f>
        <v/>
      </c>
      <c r="F283" s="16" t="str">
        <f t="array" ref="F283">IFERROR(OFFSET('名稱對照'!E$1,SMALL(IF(名稱_所屬洲別="WA",ROW(名稱_所屬洲別),""),row(282:282))-1,0),"")</f>
        <v/>
      </c>
      <c r="G283" s="14" t="str">
        <f t="array" ref="G283">IFERROR(OFFSET('名稱對照'!E$1,SMALL(IF(名稱_所屬洲別="AP",ROW(名稱_所屬洲別),""),row(282:282))-1,0),"")</f>
        <v/>
      </c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4" t="str">
        <f t="array" ref="B284">IFERROR(OFFSET('名稱對照'!E$1,SMALL(IF(名稱_所屬洲別="NA",ROW(名稱_所屬洲別),""),row(283:283))-1,0),"")</f>
        <v/>
      </c>
      <c r="C284" s="14" t="str">
        <f t="array" ref="C284">IFERROR(OFFSET('名稱對照'!E$1,SMALL(IF(名稱_所屬洲別="SA",ROW(名稱_所屬洲別),""),row(283:283))-1,0),"")</f>
        <v/>
      </c>
      <c r="D284" s="14" t="str">
        <f t="array" ref="D284">IFERROR(OFFSET('名稱對照'!E$1,SMALL(IF(名稱_所屬洲別="AF",ROW(名稱_所屬洲別),""),row(283:283))-1,0),"")</f>
        <v/>
      </c>
      <c r="E284" s="14" t="str">
        <f t="array" ref="E284">IFERROR(OFFSET('名稱對照'!E$1,SMALL(IF(名稱_所屬洲別="EU",ROW(名稱_所屬洲別),""),row(283:283))-1,0),"")</f>
        <v/>
      </c>
      <c r="F284" s="16" t="str">
        <f t="array" ref="F284">IFERROR(OFFSET('名稱對照'!E$1,SMALL(IF(名稱_所屬洲別="WA",ROW(名稱_所屬洲別),""),row(283:283))-1,0),"")</f>
        <v/>
      </c>
      <c r="G284" s="14" t="str">
        <f t="array" ref="G284">IFERROR(OFFSET('名稱對照'!E$1,SMALL(IF(名稱_所屬洲別="AP",ROW(名稱_所屬洲別),""),row(283:283))-1,0),"")</f>
        <v/>
      </c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4" t="str">
        <f t="array" ref="B285">IFERROR(OFFSET('名稱對照'!E$1,SMALL(IF(名稱_所屬洲別="NA",ROW(名稱_所屬洲別),""),row(284:284))-1,0),"")</f>
        <v/>
      </c>
      <c r="C285" s="14" t="str">
        <f t="array" ref="C285">IFERROR(OFFSET('名稱對照'!E$1,SMALL(IF(名稱_所屬洲別="SA",ROW(名稱_所屬洲別),""),row(284:284))-1,0),"")</f>
        <v/>
      </c>
      <c r="D285" s="14" t="str">
        <f t="array" ref="D285">IFERROR(OFFSET('名稱對照'!E$1,SMALL(IF(名稱_所屬洲別="AF",ROW(名稱_所屬洲別),""),row(284:284))-1,0),"")</f>
        <v/>
      </c>
      <c r="E285" s="14" t="str">
        <f t="array" ref="E285">IFERROR(OFFSET('名稱對照'!E$1,SMALL(IF(名稱_所屬洲別="EU",ROW(名稱_所屬洲別),""),row(284:284))-1,0),"")</f>
        <v/>
      </c>
      <c r="F285" s="16" t="str">
        <f t="array" ref="F285">IFERROR(OFFSET('名稱對照'!E$1,SMALL(IF(名稱_所屬洲別="WA",ROW(名稱_所屬洲別),""),row(284:284))-1,0),"")</f>
        <v/>
      </c>
      <c r="G285" s="14" t="str">
        <f t="array" ref="G285">IFERROR(OFFSET('名稱對照'!E$1,SMALL(IF(名稱_所屬洲別="AP",ROW(名稱_所屬洲別),""),row(284:284))-1,0),"")</f>
        <v/>
      </c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4" t="str">
        <f t="array" ref="B286">IFERROR(OFFSET('名稱對照'!E$1,SMALL(IF(名稱_所屬洲別="NA",ROW(名稱_所屬洲別),""),row(285:285))-1,0),"")</f>
        <v/>
      </c>
      <c r="C286" s="14" t="str">
        <f t="array" ref="C286">IFERROR(OFFSET('名稱對照'!E$1,SMALL(IF(名稱_所屬洲別="SA",ROW(名稱_所屬洲別),""),row(285:285))-1,0),"")</f>
        <v/>
      </c>
      <c r="D286" s="14" t="str">
        <f t="array" ref="D286">IFERROR(OFFSET('名稱對照'!E$1,SMALL(IF(名稱_所屬洲別="AF",ROW(名稱_所屬洲別),""),row(285:285))-1,0),"")</f>
        <v/>
      </c>
      <c r="E286" s="14" t="str">
        <f t="array" ref="E286">IFERROR(OFFSET('名稱對照'!E$1,SMALL(IF(名稱_所屬洲別="EU",ROW(名稱_所屬洲別),""),row(285:285))-1,0),"")</f>
        <v/>
      </c>
      <c r="F286" s="16" t="str">
        <f t="array" ref="F286">IFERROR(OFFSET('名稱對照'!E$1,SMALL(IF(名稱_所屬洲別="WA",ROW(名稱_所屬洲別),""),row(285:285))-1,0),"")</f>
        <v/>
      </c>
      <c r="G286" s="14" t="str">
        <f t="array" ref="G286">IFERROR(OFFSET('名稱對照'!E$1,SMALL(IF(名稱_所屬洲別="AP",ROW(名稱_所屬洲別),""),row(285:285))-1,0),"")</f>
        <v/>
      </c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4" t="str">
        <f t="array" ref="B287">IFERROR(OFFSET('名稱對照'!E$1,SMALL(IF(名稱_所屬洲別="NA",ROW(名稱_所屬洲別),""),row(286:286))-1,0),"")</f>
        <v/>
      </c>
      <c r="C287" s="14" t="str">
        <f t="array" ref="C287">IFERROR(OFFSET('名稱對照'!E$1,SMALL(IF(名稱_所屬洲別="SA",ROW(名稱_所屬洲別),""),row(286:286))-1,0),"")</f>
        <v/>
      </c>
      <c r="D287" s="14" t="str">
        <f t="array" ref="D287">IFERROR(OFFSET('名稱對照'!E$1,SMALL(IF(名稱_所屬洲別="AF",ROW(名稱_所屬洲別),""),row(286:286))-1,0),"")</f>
        <v/>
      </c>
      <c r="E287" s="14" t="str">
        <f t="array" ref="E287">IFERROR(OFFSET('名稱對照'!E$1,SMALL(IF(名稱_所屬洲別="EU",ROW(名稱_所屬洲別),""),row(286:286))-1,0),"")</f>
        <v/>
      </c>
      <c r="F287" s="16" t="str">
        <f t="array" ref="F287">IFERROR(OFFSET('名稱對照'!E$1,SMALL(IF(名稱_所屬洲別="WA",ROW(名稱_所屬洲別),""),row(286:286))-1,0),"")</f>
        <v/>
      </c>
      <c r="G287" s="14" t="str">
        <f t="array" ref="G287">IFERROR(OFFSET('名稱對照'!E$1,SMALL(IF(名稱_所屬洲別="AP",ROW(名稱_所屬洲別),""),row(286:286))-1,0),"")</f>
        <v/>
      </c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4" t="str">
        <f t="array" ref="B288">IFERROR(OFFSET('名稱對照'!E$1,SMALL(IF(名稱_所屬洲別="NA",ROW(名稱_所屬洲別),""),row(287:287))-1,0),"")</f>
        <v/>
      </c>
      <c r="C288" s="14" t="str">
        <f t="array" ref="C288">IFERROR(OFFSET('名稱對照'!E$1,SMALL(IF(名稱_所屬洲別="SA",ROW(名稱_所屬洲別),""),row(287:287))-1,0),"")</f>
        <v/>
      </c>
      <c r="D288" s="14" t="str">
        <f t="array" ref="D288">IFERROR(OFFSET('名稱對照'!E$1,SMALL(IF(名稱_所屬洲別="AF",ROW(名稱_所屬洲別),""),row(287:287))-1,0),"")</f>
        <v/>
      </c>
      <c r="E288" s="14" t="str">
        <f t="array" ref="E288">IFERROR(OFFSET('名稱對照'!E$1,SMALL(IF(名稱_所屬洲別="EU",ROW(名稱_所屬洲別),""),row(287:287))-1,0),"")</f>
        <v/>
      </c>
      <c r="F288" s="16" t="str">
        <f t="array" ref="F288">IFERROR(OFFSET('名稱對照'!E$1,SMALL(IF(名稱_所屬洲別="WA",ROW(名稱_所屬洲別),""),row(287:287))-1,0),"")</f>
        <v/>
      </c>
      <c r="G288" s="14" t="str">
        <f t="array" ref="G288">IFERROR(OFFSET('名稱對照'!E$1,SMALL(IF(名稱_所屬洲別="AP",ROW(名稱_所屬洲別),""),row(287:287))-1,0),"")</f>
        <v/>
      </c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4" t="str">
        <f t="array" ref="B289">IFERROR(OFFSET('名稱對照'!E$1,SMALL(IF(名稱_所屬洲別="NA",ROW(名稱_所屬洲別),""),row(288:288))-1,0),"")</f>
        <v/>
      </c>
      <c r="C289" s="14" t="str">
        <f t="array" ref="C289">IFERROR(OFFSET('名稱對照'!E$1,SMALL(IF(名稱_所屬洲別="SA",ROW(名稱_所屬洲別),""),row(288:288))-1,0),"")</f>
        <v/>
      </c>
      <c r="D289" s="14" t="str">
        <f t="array" ref="D289">IFERROR(OFFSET('名稱對照'!E$1,SMALL(IF(名稱_所屬洲別="AF",ROW(名稱_所屬洲別),""),row(288:288))-1,0),"")</f>
        <v/>
      </c>
      <c r="E289" s="14" t="str">
        <f t="array" ref="E289">IFERROR(OFFSET('名稱對照'!E$1,SMALL(IF(名稱_所屬洲別="EU",ROW(名稱_所屬洲別),""),row(288:288))-1,0),"")</f>
        <v/>
      </c>
      <c r="F289" s="16" t="str">
        <f t="array" ref="F289">IFERROR(OFFSET('名稱對照'!E$1,SMALL(IF(名稱_所屬洲別="WA",ROW(名稱_所屬洲別),""),row(288:288))-1,0),"")</f>
        <v/>
      </c>
      <c r="G289" s="14" t="str">
        <f t="array" ref="G289">IFERROR(OFFSET('名稱對照'!E$1,SMALL(IF(名稱_所屬洲別="AP",ROW(名稱_所屬洲別),""),row(288:288))-1,0),"")</f>
        <v/>
      </c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4" t="str">
        <f t="array" ref="B290">IFERROR(OFFSET('名稱對照'!E$1,SMALL(IF(名稱_所屬洲別="NA",ROW(名稱_所屬洲別),""),row(289:289))-1,0),"")</f>
        <v/>
      </c>
      <c r="C290" s="14" t="str">
        <f t="array" ref="C290">IFERROR(OFFSET('名稱對照'!E$1,SMALL(IF(名稱_所屬洲別="SA",ROW(名稱_所屬洲別),""),row(289:289))-1,0),"")</f>
        <v/>
      </c>
      <c r="D290" s="14" t="str">
        <f t="array" ref="D290">IFERROR(OFFSET('名稱對照'!E$1,SMALL(IF(名稱_所屬洲別="AF",ROW(名稱_所屬洲別),""),row(289:289))-1,0),"")</f>
        <v/>
      </c>
      <c r="E290" s="14" t="str">
        <f t="array" ref="E290">IFERROR(OFFSET('名稱對照'!E$1,SMALL(IF(名稱_所屬洲別="EU",ROW(名稱_所屬洲別),""),row(289:289))-1,0),"")</f>
        <v/>
      </c>
      <c r="F290" s="16" t="str">
        <f t="array" ref="F290">IFERROR(OFFSET('名稱對照'!E$1,SMALL(IF(名稱_所屬洲別="WA",ROW(名稱_所屬洲別),""),row(289:289))-1,0),"")</f>
        <v/>
      </c>
      <c r="G290" s="14" t="str">
        <f t="array" ref="G290">IFERROR(OFFSET('名稱對照'!E$1,SMALL(IF(名稱_所屬洲別="AP",ROW(名稱_所屬洲別),""),row(289:289))-1,0),"")</f>
        <v/>
      </c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4" t="str">
        <f t="array" ref="B291">IFERROR(OFFSET('名稱對照'!E$1,SMALL(IF(名稱_所屬洲別="NA",ROW(名稱_所屬洲別),""),row(290:290))-1,0),"")</f>
        <v/>
      </c>
      <c r="C291" s="14" t="str">
        <f t="array" ref="C291">IFERROR(OFFSET('名稱對照'!E$1,SMALL(IF(名稱_所屬洲別="SA",ROW(名稱_所屬洲別),""),row(290:290))-1,0),"")</f>
        <v/>
      </c>
      <c r="D291" s="14" t="str">
        <f t="array" ref="D291">IFERROR(OFFSET('名稱對照'!E$1,SMALL(IF(名稱_所屬洲別="AF",ROW(名稱_所屬洲別),""),row(290:290))-1,0),"")</f>
        <v/>
      </c>
      <c r="E291" s="14" t="str">
        <f t="array" ref="E291">IFERROR(OFFSET('名稱對照'!E$1,SMALL(IF(名稱_所屬洲別="EU",ROW(名稱_所屬洲別),""),row(290:290))-1,0),"")</f>
        <v/>
      </c>
      <c r="F291" s="16" t="str">
        <f t="array" ref="F291">IFERROR(OFFSET('名稱對照'!E$1,SMALL(IF(名稱_所屬洲別="WA",ROW(名稱_所屬洲別),""),row(290:290))-1,0),"")</f>
        <v/>
      </c>
      <c r="G291" s="14" t="str">
        <f t="array" ref="G291">IFERROR(OFFSET('名稱對照'!E$1,SMALL(IF(名稱_所屬洲別="AP",ROW(名稱_所屬洲別),""),row(290:290))-1,0),"")</f>
        <v/>
      </c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4" t="str">
        <f t="array" ref="B292">IFERROR(OFFSET('名稱對照'!E$1,SMALL(IF(名稱_所屬洲別="NA",ROW(名稱_所屬洲別),""),row(291:291))-1,0),"")</f>
        <v/>
      </c>
      <c r="C292" s="14" t="str">
        <f t="array" ref="C292">IFERROR(OFFSET('名稱對照'!E$1,SMALL(IF(名稱_所屬洲別="SA",ROW(名稱_所屬洲別),""),row(291:291))-1,0),"")</f>
        <v/>
      </c>
      <c r="D292" s="14" t="str">
        <f t="array" ref="D292">IFERROR(OFFSET('名稱對照'!E$1,SMALL(IF(名稱_所屬洲別="AF",ROW(名稱_所屬洲別),""),row(291:291))-1,0),"")</f>
        <v/>
      </c>
      <c r="E292" s="14" t="str">
        <f t="array" ref="E292">IFERROR(OFFSET('名稱對照'!E$1,SMALL(IF(名稱_所屬洲別="EU",ROW(名稱_所屬洲別),""),row(291:291))-1,0),"")</f>
        <v/>
      </c>
      <c r="F292" s="16" t="str">
        <f t="array" ref="F292">IFERROR(OFFSET('名稱對照'!E$1,SMALL(IF(名稱_所屬洲別="WA",ROW(名稱_所屬洲別),""),row(291:291))-1,0),"")</f>
        <v/>
      </c>
      <c r="G292" s="14" t="str">
        <f t="array" ref="G292">IFERROR(OFFSET('名稱對照'!E$1,SMALL(IF(名稱_所屬洲別="AP",ROW(名稱_所屬洲別),""),row(291:291))-1,0),"")</f>
        <v/>
      </c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4" t="str">
        <f t="array" ref="B293">IFERROR(OFFSET('名稱對照'!E$1,SMALL(IF(名稱_所屬洲別="NA",ROW(名稱_所屬洲別),""),row(292:292))-1,0),"")</f>
        <v/>
      </c>
      <c r="C293" s="14" t="str">
        <f t="array" ref="C293">IFERROR(OFFSET('名稱對照'!E$1,SMALL(IF(名稱_所屬洲別="SA",ROW(名稱_所屬洲別),""),row(292:292))-1,0),"")</f>
        <v/>
      </c>
      <c r="D293" s="14" t="str">
        <f t="array" ref="D293">IFERROR(OFFSET('名稱對照'!E$1,SMALL(IF(名稱_所屬洲別="AF",ROW(名稱_所屬洲別),""),row(292:292))-1,0),"")</f>
        <v/>
      </c>
      <c r="E293" s="14" t="str">
        <f t="array" ref="E293">IFERROR(OFFSET('名稱對照'!E$1,SMALL(IF(名稱_所屬洲別="EU",ROW(名稱_所屬洲別),""),row(292:292))-1,0),"")</f>
        <v/>
      </c>
      <c r="F293" s="16" t="str">
        <f t="array" ref="F293">IFERROR(OFFSET('名稱對照'!E$1,SMALL(IF(名稱_所屬洲別="WA",ROW(名稱_所屬洲別),""),row(292:292))-1,0),"")</f>
        <v/>
      </c>
      <c r="G293" s="14" t="str">
        <f t="array" ref="G293">IFERROR(OFFSET('名稱對照'!E$1,SMALL(IF(名稱_所屬洲別="AP",ROW(名稱_所屬洲別),""),row(292:292))-1,0),"")</f>
        <v/>
      </c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4" t="str">
        <f t="array" ref="B294">IFERROR(OFFSET('名稱對照'!E$1,SMALL(IF(名稱_所屬洲別="NA",ROW(名稱_所屬洲別),""),row(293:293))-1,0),"")</f>
        <v/>
      </c>
      <c r="C294" s="14" t="str">
        <f t="array" ref="C294">IFERROR(OFFSET('名稱對照'!E$1,SMALL(IF(名稱_所屬洲別="SA",ROW(名稱_所屬洲別),""),row(293:293))-1,0),"")</f>
        <v/>
      </c>
      <c r="D294" s="14" t="str">
        <f t="array" ref="D294">IFERROR(OFFSET('名稱對照'!E$1,SMALL(IF(名稱_所屬洲別="AF",ROW(名稱_所屬洲別),""),row(293:293))-1,0),"")</f>
        <v/>
      </c>
      <c r="E294" s="14" t="str">
        <f t="array" ref="E294">IFERROR(OFFSET('名稱對照'!E$1,SMALL(IF(名稱_所屬洲別="EU",ROW(名稱_所屬洲別),""),row(293:293))-1,0),"")</f>
        <v/>
      </c>
      <c r="F294" s="16" t="str">
        <f t="array" ref="F294">IFERROR(OFFSET('名稱對照'!E$1,SMALL(IF(名稱_所屬洲別="WA",ROW(名稱_所屬洲別),""),row(293:293))-1,0),"")</f>
        <v/>
      </c>
      <c r="G294" s="14" t="str">
        <f t="array" ref="G294">IFERROR(OFFSET('名稱對照'!E$1,SMALL(IF(名稱_所屬洲別="AP",ROW(名稱_所屬洲別),""),row(293:293))-1,0),"")</f>
        <v/>
      </c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4" t="str">
        <f t="array" ref="B295">IFERROR(OFFSET('名稱對照'!E$1,SMALL(IF(名稱_所屬洲別="NA",ROW(名稱_所屬洲別),""),row(294:294))-1,0),"")</f>
        <v/>
      </c>
      <c r="C295" s="14" t="str">
        <f t="array" ref="C295">IFERROR(OFFSET('名稱對照'!E$1,SMALL(IF(名稱_所屬洲別="SA",ROW(名稱_所屬洲別),""),row(294:294))-1,0),"")</f>
        <v/>
      </c>
      <c r="D295" s="14" t="str">
        <f t="array" ref="D295">IFERROR(OFFSET('名稱對照'!E$1,SMALL(IF(名稱_所屬洲別="AF",ROW(名稱_所屬洲別),""),row(294:294))-1,0),"")</f>
        <v/>
      </c>
      <c r="E295" s="14" t="str">
        <f t="array" ref="E295">IFERROR(OFFSET('名稱對照'!E$1,SMALL(IF(名稱_所屬洲別="EU",ROW(名稱_所屬洲別),""),row(294:294))-1,0),"")</f>
        <v/>
      </c>
      <c r="F295" s="16" t="str">
        <f t="array" ref="F295">IFERROR(OFFSET('名稱對照'!E$1,SMALL(IF(名稱_所屬洲別="WA",ROW(名稱_所屬洲別),""),row(294:294))-1,0),"")</f>
        <v/>
      </c>
      <c r="G295" s="14" t="str">
        <f t="array" ref="G295">IFERROR(OFFSET('名稱對照'!E$1,SMALL(IF(名稱_所屬洲別="AP",ROW(名稱_所屬洲別),""),row(294:294))-1,0),"")</f>
        <v/>
      </c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4" t="str">
        <f t="array" ref="B296">IFERROR(OFFSET('名稱對照'!E$1,SMALL(IF(名稱_所屬洲別="NA",ROW(名稱_所屬洲別),""),row(295:295))-1,0),"")</f>
        <v/>
      </c>
      <c r="C296" s="14" t="str">
        <f t="array" ref="C296">IFERROR(OFFSET('名稱對照'!E$1,SMALL(IF(名稱_所屬洲別="SA",ROW(名稱_所屬洲別),""),row(295:295))-1,0),"")</f>
        <v/>
      </c>
      <c r="D296" s="14" t="str">
        <f t="array" ref="D296">IFERROR(OFFSET('名稱對照'!E$1,SMALL(IF(名稱_所屬洲別="AF",ROW(名稱_所屬洲別),""),row(295:295))-1,0),"")</f>
        <v/>
      </c>
      <c r="E296" s="14" t="str">
        <f t="array" ref="E296">IFERROR(OFFSET('名稱對照'!E$1,SMALL(IF(名稱_所屬洲別="EU",ROW(名稱_所屬洲別),""),row(295:295))-1,0),"")</f>
        <v/>
      </c>
      <c r="F296" s="16" t="str">
        <f t="array" ref="F296">IFERROR(OFFSET('名稱對照'!E$1,SMALL(IF(名稱_所屬洲別="WA",ROW(名稱_所屬洲別),""),row(295:295))-1,0),"")</f>
        <v/>
      </c>
      <c r="G296" s="14" t="str">
        <f t="array" ref="G296">IFERROR(OFFSET('名稱對照'!E$1,SMALL(IF(名稱_所屬洲別="AP",ROW(名稱_所屬洲別),""),row(295:295))-1,0),"")</f>
        <v/>
      </c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4" t="str">
        <f t="array" ref="B297">IFERROR(OFFSET('名稱對照'!E$1,SMALL(IF(名稱_所屬洲別="NA",ROW(名稱_所屬洲別),""),row(296:296))-1,0),"")</f>
        <v/>
      </c>
      <c r="C297" s="14" t="str">
        <f t="array" ref="C297">IFERROR(OFFSET('名稱對照'!E$1,SMALL(IF(名稱_所屬洲別="SA",ROW(名稱_所屬洲別),""),row(296:296))-1,0),"")</f>
        <v/>
      </c>
      <c r="D297" s="14" t="str">
        <f t="array" ref="D297">IFERROR(OFFSET('名稱對照'!E$1,SMALL(IF(名稱_所屬洲別="AF",ROW(名稱_所屬洲別),""),row(296:296))-1,0),"")</f>
        <v/>
      </c>
      <c r="E297" s="14" t="str">
        <f t="array" ref="E297">IFERROR(OFFSET('名稱對照'!E$1,SMALL(IF(名稱_所屬洲別="EU",ROW(名稱_所屬洲別),""),row(296:296))-1,0),"")</f>
        <v/>
      </c>
      <c r="F297" s="16" t="str">
        <f t="array" ref="F297">IFERROR(OFFSET('名稱對照'!E$1,SMALL(IF(名稱_所屬洲別="WA",ROW(名稱_所屬洲別),""),row(296:296))-1,0),"")</f>
        <v/>
      </c>
      <c r="G297" s="14" t="str">
        <f t="array" ref="G297">IFERROR(OFFSET('名稱對照'!E$1,SMALL(IF(名稱_所屬洲別="AP",ROW(名稱_所屬洲別),""),row(296:296))-1,0),"")</f>
        <v/>
      </c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4" t="str">
        <f t="array" ref="B298">IFERROR(OFFSET('名稱對照'!E$1,SMALL(IF(名稱_所屬洲別="NA",ROW(名稱_所屬洲別),""),row(297:297))-1,0),"")</f>
        <v/>
      </c>
      <c r="C298" s="14" t="str">
        <f t="array" ref="C298">IFERROR(OFFSET('名稱對照'!E$1,SMALL(IF(名稱_所屬洲別="SA",ROW(名稱_所屬洲別),""),row(297:297))-1,0),"")</f>
        <v/>
      </c>
      <c r="D298" s="14" t="str">
        <f t="array" ref="D298">IFERROR(OFFSET('名稱對照'!E$1,SMALL(IF(名稱_所屬洲別="AF",ROW(名稱_所屬洲別),""),row(297:297))-1,0),"")</f>
        <v/>
      </c>
      <c r="E298" s="14" t="str">
        <f t="array" ref="E298">IFERROR(OFFSET('名稱對照'!E$1,SMALL(IF(名稱_所屬洲別="EU",ROW(名稱_所屬洲別),""),row(297:297))-1,0),"")</f>
        <v/>
      </c>
      <c r="F298" s="16" t="str">
        <f t="array" ref="F298">IFERROR(OFFSET('名稱對照'!E$1,SMALL(IF(名稱_所屬洲別="WA",ROW(名稱_所屬洲別),""),row(297:297))-1,0),"")</f>
        <v/>
      </c>
      <c r="G298" s="14" t="str">
        <f t="array" ref="G298">IFERROR(OFFSET('名稱對照'!E$1,SMALL(IF(名稱_所屬洲別="AP",ROW(名稱_所屬洲別),""),row(297:297))-1,0),"")</f>
        <v/>
      </c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4" t="str">
        <f t="array" ref="B299">IFERROR(OFFSET('名稱對照'!E$1,SMALL(IF(名稱_所屬洲別="NA",ROW(名稱_所屬洲別),""),row(298:298))-1,0),"")</f>
        <v/>
      </c>
      <c r="C299" s="14" t="str">
        <f t="array" ref="C299">IFERROR(OFFSET('名稱對照'!E$1,SMALL(IF(名稱_所屬洲別="SA",ROW(名稱_所屬洲別),""),row(298:298))-1,0),"")</f>
        <v/>
      </c>
      <c r="D299" s="14" t="str">
        <f t="array" ref="D299">IFERROR(OFFSET('名稱對照'!E$1,SMALL(IF(名稱_所屬洲別="AF",ROW(名稱_所屬洲別),""),row(298:298))-1,0),"")</f>
        <v/>
      </c>
      <c r="E299" s="14" t="str">
        <f t="array" ref="E299">IFERROR(OFFSET('名稱對照'!E$1,SMALL(IF(名稱_所屬洲別="EU",ROW(名稱_所屬洲別),""),row(298:298))-1,0),"")</f>
        <v/>
      </c>
      <c r="F299" s="16" t="str">
        <f t="array" ref="F299">IFERROR(OFFSET('名稱對照'!E$1,SMALL(IF(名稱_所屬洲別="WA",ROW(名稱_所屬洲別),""),row(298:298))-1,0),"")</f>
        <v/>
      </c>
      <c r="G299" s="14" t="str">
        <f t="array" ref="G299">IFERROR(OFFSET('名稱對照'!E$1,SMALL(IF(名稱_所屬洲別="AP",ROW(名稱_所屬洲別),""),row(298:298))-1,0),"")</f>
        <v/>
      </c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4" t="str">
        <f t="array" ref="B300">IFERROR(OFFSET('名稱對照'!E$1,SMALL(IF(名稱_所屬洲別="NA",ROW(名稱_所屬洲別),""),row(299:299))-1,0),"")</f>
        <v/>
      </c>
      <c r="C300" s="14" t="str">
        <f t="array" ref="C300">IFERROR(OFFSET('名稱對照'!E$1,SMALL(IF(名稱_所屬洲別="SA",ROW(名稱_所屬洲別),""),row(299:299))-1,0),"")</f>
        <v/>
      </c>
      <c r="D300" s="14" t="str">
        <f t="array" ref="D300">IFERROR(OFFSET('名稱對照'!E$1,SMALL(IF(名稱_所屬洲別="AF",ROW(名稱_所屬洲別),""),row(299:299))-1,0),"")</f>
        <v/>
      </c>
      <c r="E300" s="14" t="str">
        <f t="array" ref="E300">IFERROR(OFFSET('名稱對照'!E$1,SMALL(IF(名稱_所屬洲別="EU",ROW(名稱_所屬洲別),""),row(299:299))-1,0),"")</f>
        <v/>
      </c>
      <c r="F300" s="16" t="str">
        <f t="array" ref="F300">IFERROR(OFFSET('名稱對照'!E$1,SMALL(IF(名稱_所屬洲別="WA",ROW(名稱_所屬洲別),""),row(299:299))-1,0),"")</f>
        <v/>
      </c>
      <c r="G300" s="14" t="str">
        <f t="array" ref="G300">IFERROR(OFFSET('名稱對照'!E$1,SMALL(IF(名稱_所屬洲別="AP",ROW(名稱_所屬洲別),""),row(299:299))-1,0),"")</f>
        <v/>
      </c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4.89"/>
    <col customWidth="1" min="2" max="2" width="7.78"/>
    <col customWidth="1" min="3" max="3" width="18.22"/>
    <col customWidth="1" min="4" max="5" width="23.89"/>
  </cols>
  <sheetData>
    <row r="1">
      <c r="A1" s="14" t="s">
        <v>16</v>
      </c>
      <c r="B1" s="14" t="s">
        <v>17</v>
      </c>
      <c r="C1" s="15" t="s">
        <v>18</v>
      </c>
      <c r="D1" s="14" t="s">
        <v>19</v>
      </c>
      <c r="E1" s="14" t="s">
        <v>20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>
      <c r="A2" s="14" t="s">
        <v>21</v>
      </c>
      <c r="B2" s="14" t="s">
        <v>22</v>
      </c>
      <c r="C2" s="15" t="s">
        <v>23</v>
      </c>
      <c r="D2" s="14" t="s">
        <v>24</v>
      </c>
      <c r="E2" s="16" t="str">
        <f t="array" ref="E2:E1002">C2:C1002&amp;CHAR(10)&amp;D2:D1002</f>
        <v>阿富汗
Afghanistan</v>
      </c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>
      <c r="A3" s="14" t="s">
        <v>39</v>
      </c>
      <c r="B3" s="14" t="s">
        <v>40</v>
      </c>
      <c r="C3" s="15" t="s">
        <v>41</v>
      </c>
      <c r="D3" s="14" t="s">
        <v>42</v>
      </c>
      <c r="E3" s="16" t="s">
        <v>43</v>
      </c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>
      <c r="A4" s="14" t="s">
        <v>44</v>
      </c>
      <c r="B4" s="14" t="s">
        <v>45</v>
      </c>
      <c r="C4" s="15" t="s">
        <v>46</v>
      </c>
      <c r="D4" s="14" t="s">
        <v>47</v>
      </c>
      <c r="E4" s="16" t="s">
        <v>48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>
      <c r="A5" s="14" t="s">
        <v>50</v>
      </c>
      <c r="B5" s="14" t="s">
        <v>22</v>
      </c>
      <c r="C5" s="15" t="s">
        <v>51</v>
      </c>
      <c r="D5" s="14" t="s">
        <v>52</v>
      </c>
      <c r="E5" s="16" t="s">
        <v>53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>
      <c r="A6" s="14" t="s">
        <v>54</v>
      </c>
      <c r="B6" s="14" t="s">
        <v>55</v>
      </c>
      <c r="C6" s="15" t="s">
        <v>56</v>
      </c>
      <c r="D6" s="14" t="s">
        <v>57</v>
      </c>
      <c r="E6" s="16" t="s">
        <v>59</v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>
      <c r="A7" s="14" t="s">
        <v>61</v>
      </c>
      <c r="B7" s="14" t="s">
        <v>22</v>
      </c>
      <c r="C7" s="15" t="s">
        <v>62</v>
      </c>
      <c r="D7" s="14" t="s">
        <v>63</v>
      </c>
      <c r="E7" s="16" t="s">
        <v>64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>
      <c r="A8" s="14" t="s">
        <v>67</v>
      </c>
      <c r="B8" s="14" t="s">
        <v>68</v>
      </c>
      <c r="C8" s="15" t="s">
        <v>69</v>
      </c>
      <c r="D8" s="14" t="s">
        <v>70</v>
      </c>
      <c r="E8" s="16" t="s">
        <v>25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>
      <c r="A9" s="14" t="s">
        <v>71</v>
      </c>
      <c r="B9" s="14" t="s">
        <v>72</v>
      </c>
      <c r="C9" s="15" t="s">
        <v>73</v>
      </c>
      <c r="D9" s="14" t="s">
        <v>75</v>
      </c>
      <c r="E9" s="16" t="s">
        <v>76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>
      <c r="A10" s="14" t="s">
        <v>77</v>
      </c>
      <c r="B10" s="14" t="s">
        <v>72</v>
      </c>
      <c r="C10" s="15" t="s">
        <v>78</v>
      </c>
      <c r="D10" s="14" t="s">
        <v>77</v>
      </c>
      <c r="E10" s="16" t="s">
        <v>79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>
      <c r="A11" s="14" t="s">
        <v>80</v>
      </c>
      <c r="B11" s="14" t="s">
        <v>72</v>
      </c>
      <c r="C11" s="15" t="s">
        <v>81</v>
      </c>
      <c r="D11" s="14" t="s">
        <v>82</v>
      </c>
      <c r="E11" s="16" t="s">
        <v>84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>
      <c r="A12" s="14" t="s">
        <v>86</v>
      </c>
      <c r="B12" s="14" t="s">
        <v>45</v>
      </c>
      <c r="C12" s="15" t="s">
        <v>87</v>
      </c>
      <c r="D12" s="14" t="s">
        <v>88</v>
      </c>
      <c r="E12" s="16" t="s">
        <v>89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>
      <c r="A13" s="14" t="s">
        <v>92</v>
      </c>
      <c r="B13" s="14" t="s">
        <v>22</v>
      </c>
      <c r="C13" s="26" t="s">
        <v>93</v>
      </c>
      <c r="D13" s="14" t="s">
        <v>95</v>
      </c>
      <c r="E13" s="16" t="s">
        <v>96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>
      <c r="A14" s="14" t="s">
        <v>97</v>
      </c>
      <c r="B14" s="14" t="s">
        <v>40</v>
      </c>
      <c r="C14" s="26" t="s">
        <v>98</v>
      </c>
      <c r="D14" s="14" t="s">
        <v>99</v>
      </c>
      <c r="E14" s="16" t="s">
        <v>101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>
      <c r="A15" s="14" t="s">
        <v>102</v>
      </c>
      <c r="B15" s="14" t="s">
        <v>45</v>
      </c>
      <c r="C15" s="26" t="s">
        <v>103</v>
      </c>
      <c r="D15" s="14" t="s">
        <v>104</v>
      </c>
      <c r="E15" s="16" t="s">
        <v>109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>
      <c r="A16" s="14" t="s">
        <v>111</v>
      </c>
      <c r="B16" s="14" t="s">
        <v>40</v>
      </c>
      <c r="C16" s="26" t="s">
        <v>112</v>
      </c>
      <c r="D16" s="14" t="s">
        <v>113</v>
      </c>
      <c r="E16" s="16" t="s">
        <v>114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>
      <c r="A17" s="14" t="s">
        <v>115</v>
      </c>
      <c r="B17" s="14" t="s">
        <v>40</v>
      </c>
      <c r="C17" s="26" t="s">
        <v>116</v>
      </c>
      <c r="D17" s="14" t="s">
        <v>117</v>
      </c>
      <c r="E17" s="16" t="s">
        <v>118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>
      <c r="A18" s="14" t="s">
        <v>119</v>
      </c>
      <c r="B18" s="14" t="s">
        <v>68</v>
      </c>
      <c r="C18" s="26" t="s">
        <v>121</v>
      </c>
      <c r="D18" s="14" t="s">
        <v>122</v>
      </c>
      <c r="E18" s="16" t="s">
        <v>123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>
      <c r="A19" s="14" t="s">
        <v>124</v>
      </c>
      <c r="B19" s="14" t="s">
        <v>45</v>
      </c>
      <c r="C19" s="26" t="s">
        <v>125</v>
      </c>
      <c r="D19" s="14" t="s">
        <v>126</v>
      </c>
      <c r="E19" s="16" t="s">
        <v>127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>
      <c r="A20" s="14" t="s">
        <v>128</v>
      </c>
      <c r="B20" s="14" t="s">
        <v>55</v>
      </c>
      <c r="C20" s="26" t="s">
        <v>129</v>
      </c>
      <c r="D20" s="14" t="s">
        <v>130</v>
      </c>
      <c r="E20" s="16" t="s">
        <v>131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>
      <c r="A21" s="14" t="s">
        <v>132</v>
      </c>
      <c r="B21" s="14" t="s">
        <v>45</v>
      </c>
      <c r="C21" s="15" t="s">
        <v>133</v>
      </c>
      <c r="D21" s="14" t="s">
        <v>134</v>
      </c>
      <c r="E21" s="16" t="s">
        <v>135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>
      <c r="A22" s="14" t="s">
        <v>136</v>
      </c>
      <c r="B22" s="14" t="s">
        <v>45</v>
      </c>
      <c r="C22" s="15" t="s">
        <v>137</v>
      </c>
      <c r="D22" s="14" t="s">
        <v>138</v>
      </c>
      <c r="E22" s="16" t="s">
        <v>139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>
      <c r="A23" s="14" t="s">
        <v>142</v>
      </c>
      <c r="B23" s="14" t="s">
        <v>55</v>
      </c>
      <c r="C23" s="15" t="s">
        <v>143</v>
      </c>
      <c r="D23" s="14" t="s">
        <v>144</v>
      </c>
      <c r="E23" s="16" t="s">
        <v>145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>
      <c r="A24" s="14" t="s">
        <v>148</v>
      </c>
      <c r="B24" s="14" t="s">
        <v>55</v>
      </c>
      <c r="C24" s="15" t="s">
        <v>149</v>
      </c>
      <c r="D24" s="14" t="s">
        <v>150</v>
      </c>
      <c r="E24" s="16" t="s">
        <v>151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>
      <c r="A25" s="14" t="s">
        <v>152</v>
      </c>
      <c r="B25" s="14" t="s">
        <v>55</v>
      </c>
      <c r="C25" s="26" t="s">
        <v>154</v>
      </c>
      <c r="D25" s="14" t="s">
        <v>156</v>
      </c>
      <c r="E25" s="16" t="s">
        <v>157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>
      <c r="A26" s="14" t="s">
        <v>158</v>
      </c>
      <c r="B26" s="14" t="s">
        <v>68</v>
      </c>
      <c r="C26" s="26" t="s">
        <v>159</v>
      </c>
      <c r="D26" s="14" t="s">
        <v>160</v>
      </c>
      <c r="E26" s="16" t="s">
        <v>161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>
      <c r="A27" s="14" t="s">
        <v>165</v>
      </c>
      <c r="B27" s="14" t="s">
        <v>68</v>
      </c>
      <c r="C27" s="26" t="s">
        <v>166</v>
      </c>
      <c r="D27" s="14" t="s">
        <v>167</v>
      </c>
      <c r="E27" s="16" t="s">
        <v>169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>
      <c r="A28" s="14" t="s">
        <v>170</v>
      </c>
      <c r="B28" s="14" t="s">
        <v>40</v>
      </c>
      <c r="C28" s="26" t="s">
        <v>171</v>
      </c>
      <c r="D28" s="14" t="s">
        <v>172</v>
      </c>
      <c r="E28" s="16" t="s">
        <v>173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>
      <c r="A29" s="14" t="s">
        <v>175</v>
      </c>
      <c r="B29" s="14" t="s">
        <v>40</v>
      </c>
      <c r="C29" s="26" t="s">
        <v>177</v>
      </c>
      <c r="D29" s="14" t="s">
        <v>178</v>
      </c>
      <c r="E29" s="16" t="s">
        <v>179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>
      <c r="A30" s="14" t="s">
        <v>181</v>
      </c>
      <c r="B30" s="14" t="s">
        <v>45</v>
      </c>
      <c r="C30" s="26" t="s">
        <v>182</v>
      </c>
      <c r="D30" s="14" t="s">
        <v>183</v>
      </c>
      <c r="E30" s="16" t="s">
        <v>184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>
      <c r="A31" s="14" t="s">
        <v>186</v>
      </c>
      <c r="B31" s="14" t="s">
        <v>55</v>
      </c>
      <c r="C31" s="26" t="s">
        <v>187</v>
      </c>
      <c r="D31" s="14" t="s">
        <v>188</v>
      </c>
      <c r="E31" s="16" t="s">
        <v>83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>
      <c r="A32" s="14" t="s">
        <v>190</v>
      </c>
      <c r="B32" s="14" t="s">
        <v>68</v>
      </c>
      <c r="C32" s="29" t="s">
        <v>192</v>
      </c>
      <c r="D32" s="14" t="s">
        <v>194</v>
      </c>
      <c r="E32" s="16" t="s">
        <v>195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>
      <c r="A33" s="14" t="s">
        <v>197</v>
      </c>
      <c r="B33" s="14" t="s">
        <v>40</v>
      </c>
      <c r="C33" s="26" t="s">
        <v>198</v>
      </c>
      <c r="D33" s="14" t="s">
        <v>199</v>
      </c>
      <c r="E33" s="16" t="s">
        <v>200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>
      <c r="A34" s="14" t="s">
        <v>201</v>
      </c>
      <c r="B34" s="14" t="s">
        <v>40</v>
      </c>
      <c r="C34" s="29" t="s">
        <v>202</v>
      </c>
      <c r="D34" s="14" t="s">
        <v>203</v>
      </c>
      <c r="E34" s="16" t="s">
        <v>204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>
      <c r="A35" s="14" t="s">
        <v>205</v>
      </c>
      <c r="B35" s="14" t="s">
        <v>40</v>
      </c>
      <c r="C35" s="26" t="s">
        <v>206</v>
      </c>
      <c r="D35" s="14" t="s">
        <v>207</v>
      </c>
      <c r="E35" s="16" t="s">
        <v>208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>
      <c r="A36" s="14" t="s">
        <v>209</v>
      </c>
      <c r="B36" s="14" t="s">
        <v>40</v>
      </c>
      <c r="C36" s="15" t="s">
        <v>210</v>
      </c>
      <c r="D36" s="14" t="s">
        <v>211</v>
      </c>
      <c r="E36" s="16" t="s">
        <v>213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>
      <c r="A37" s="14" t="s">
        <v>216</v>
      </c>
      <c r="B37" s="14" t="s">
        <v>55</v>
      </c>
      <c r="C37" s="26" t="s">
        <v>217</v>
      </c>
      <c r="D37" s="14" t="s">
        <v>218</v>
      </c>
      <c r="E37" s="16" t="s">
        <v>153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>
      <c r="A38" s="14" t="s">
        <v>220</v>
      </c>
      <c r="B38" s="14" t="s">
        <v>55</v>
      </c>
      <c r="C38" s="26" t="s">
        <v>221</v>
      </c>
      <c r="D38" s="14" t="s">
        <v>222</v>
      </c>
      <c r="E38" s="16" t="s">
        <v>223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>
      <c r="A39" s="14" t="s">
        <v>226</v>
      </c>
      <c r="B39" s="14" t="s">
        <v>55</v>
      </c>
      <c r="C39" s="26" t="s">
        <v>228</v>
      </c>
      <c r="D39" s="14" t="s">
        <v>229</v>
      </c>
      <c r="E39" s="16" t="s">
        <v>230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>
      <c r="A40" s="14" t="s">
        <v>231</v>
      </c>
      <c r="B40" s="14" t="s">
        <v>22</v>
      </c>
      <c r="C40" s="26" t="s">
        <v>232</v>
      </c>
      <c r="D40" s="14" t="s">
        <v>233</v>
      </c>
      <c r="E40" s="16" t="s">
        <v>234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>
      <c r="A41" s="14" t="s">
        <v>238</v>
      </c>
      <c r="B41" s="14" t="s">
        <v>45</v>
      </c>
      <c r="C41" s="29" t="s">
        <v>239</v>
      </c>
      <c r="D41" s="14" t="s">
        <v>240</v>
      </c>
      <c r="E41" s="16" t="s">
        <v>241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>
      <c r="A42" s="14" t="s">
        <v>242</v>
      </c>
      <c r="B42" s="14" t="s">
        <v>45</v>
      </c>
      <c r="C42" s="26" t="s">
        <v>244</v>
      </c>
      <c r="D42" s="14" t="s">
        <v>245</v>
      </c>
      <c r="E42" s="16" t="s">
        <v>246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>
      <c r="A43" s="14" t="s">
        <v>250</v>
      </c>
      <c r="B43" s="14" t="s">
        <v>40</v>
      </c>
      <c r="C43" s="26" t="s">
        <v>251</v>
      </c>
      <c r="D43" s="14" t="s">
        <v>252</v>
      </c>
      <c r="E43" s="16" t="s">
        <v>253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>
      <c r="A44" s="14" t="s">
        <v>256</v>
      </c>
      <c r="B44" s="14" t="s">
        <v>45</v>
      </c>
      <c r="C44" s="26" t="s">
        <v>257</v>
      </c>
      <c r="D44" s="14" t="s">
        <v>258</v>
      </c>
      <c r="E44" s="16" t="s">
        <v>259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>
      <c r="A45" s="14" t="s">
        <v>261</v>
      </c>
      <c r="B45" s="14" t="s">
        <v>55</v>
      </c>
      <c r="C45" s="26" t="s">
        <v>262</v>
      </c>
      <c r="D45" s="14" t="s">
        <v>263</v>
      </c>
      <c r="E45" s="16" t="s">
        <v>264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>
      <c r="A46" s="14" t="s">
        <v>266</v>
      </c>
      <c r="B46" s="14" t="s">
        <v>40</v>
      </c>
      <c r="C46" s="26" t="s">
        <v>267</v>
      </c>
      <c r="D46" s="14" t="s">
        <v>268</v>
      </c>
      <c r="E46" s="16" t="s">
        <v>269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>
      <c r="A47" s="14" t="s">
        <v>271</v>
      </c>
      <c r="B47" s="14" t="s">
        <v>55</v>
      </c>
      <c r="C47" s="26" t="s">
        <v>272</v>
      </c>
      <c r="D47" s="14" t="s">
        <v>273</v>
      </c>
      <c r="E47" s="16" t="s">
        <v>275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>
      <c r="A48" s="14" t="s">
        <v>277</v>
      </c>
      <c r="B48" s="14" t="s">
        <v>40</v>
      </c>
      <c r="C48" s="26" t="s">
        <v>278</v>
      </c>
      <c r="D48" s="14" t="s">
        <v>279</v>
      </c>
      <c r="E48" s="16" t="s">
        <v>280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>
      <c r="A49" s="14" t="s">
        <v>282</v>
      </c>
      <c r="B49" s="14" t="s">
        <v>40</v>
      </c>
      <c r="C49" s="26" t="s">
        <v>283</v>
      </c>
      <c r="D49" s="14" t="s">
        <v>284</v>
      </c>
      <c r="E49" s="16" t="s">
        <v>285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>
      <c r="A50" s="14" t="s">
        <v>287</v>
      </c>
      <c r="B50" s="14" t="s">
        <v>45</v>
      </c>
      <c r="C50" s="26" t="s">
        <v>288</v>
      </c>
      <c r="D50" s="14" t="s">
        <v>289</v>
      </c>
      <c r="E50" s="16" t="s">
        <v>290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>
      <c r="A51" s="14" t="s">
        <v>291</v>
      </c>
      <c r="B51" s="14" t="s">
        <v>45</v>
      </c>
      <c r="C51" s="26" t="s">
        <v>293</v>
      </c>
      <c r="D51" s="14" t="s">
        <v>294</v>
      </c>
      <c r="E51" s="16" t="s">
        <v>295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>
      <c r="A52" s="14" t="s">
        <v>299</v>
      </c>
      <c r="B52" s="14" t="s">
        <v>40</v>
      </c>
      <c r="C52" s="26" t="s">
        <v>300</v>
      </c>
      <c r="D52" s="14" t="s">
        <v>301</v>
      </c>
      <c r="E52" s="16" t="s">
        <v>302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>
      <c r="A53" s="14" t="s">
        <v>304</v>
      </c>
      <c r="B53" s="14" t="s">
        <v>45</v>
      </c>
      <c r="C53" s="15" t="s">
        <v>305</v>
      </c>
      <c r="D53" s="14" t="s">
        <v>306</v>
      </c>
      <c r="E53" s="16" t="s">
        <v>307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>
      <c r="A54" s="14" t="s">
        <v>308</v>
      </c>
      <c r="B54" s="14" t="s">
        <v>68</v>
      </c>
      <c r="C54" s="26" t="s">
        <v>310</v>
      </c>
      <c r="D54" s="14" t="s">
        <v>311</v>
      </c>
      <c r="E54" s="16" t="s">
        <v>312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>
      <c r="A55" s="14" t="s">
        <v>315</v>
      </c>
      <c r="B55" s="14" t="s">
        <v>55</v>
      </c>
      <c r="C55" s="26" t="s">
        <v>316</v>
      </c>
      <c r="D55" s="14" t="s">
        <v>317</v>
      </c>
      <c r="E55" s="16" t="s">
        <v>318</v>
      </c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>
      <c r="A56" s="14" t="s">
        <v>320</v>
      </c>
      <c r="B56" s="14" t="s">
        <v>45</v>
      </c>
      <c r="C56" s="29" t="s">
        <v>321</v>
      </c>
      <c r="D56" s="14" t="s">
        <v>322</v>
      </c>
      <c r="E56" s="16" t="s">
        <v>323</v>
      </c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>
      <c r="A57" s="14" t="s">
        <v>325</v>
      </c>
      <c r="B57" s="14" t="s">
        <v>55</v>
      </c>
      <c r="C57" s="26" t="s">
        <v>326</v>
      </c>
      <c r="D57" s="14" t="s">
        <v>327</v>
      </c>
      <c r="E57" s="16" t="s">
        <v>328</v>
      </c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>
      <c r="A58" s="14" t="s">
        <v>332</v>
      </c>
      <c r="B58" s="14" t="s">
        <v>40</v>
      </c>
      <c r="C58" s="29" t="s">
        <v>333</v>
      </c>
      <c r="D58" s="14" t="s">
        <v>334</v>
      </c>
      <c r="E58" s="16" t="s">
        <v>335</v>
      </c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>
      <c r="A59" s="14" t="s">
        <v>337</v>
      </c>
      <c r="B59" s="14" t="s">
        <v>45</v>
      </c>
      <c r="C59" s="29" t="s">
        <v>338</v>
      </c>
      <c r="D59" s="14" t="s">
        <v>339</v>
      </c>
      <c r="E59" s="16" t="s">
        <v>340</v>
      </c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>
      <c r="A60" s="14" t="s">
        <v>341</v>
      </c>
      <c r="B60" s="14" t="s">
        <v>22</v>
      </c>
      <c r="C60" s="29" t="s">
        <v>343</v>
      </c>
      <c r="D60" s="14" t="s">
        <v>344</v>
      </c>
      <c r="E60" s="16" t="s">
        <v>345</v>
      </c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>
      <c r="A61" s="14" t="s">
        <v>346</v>
      </c>
      <c r="B61" s="14" t="s">
        <v>40</v>
      </c>
      <c r="C61" s="29" t="s">
        <v>347</v>
      </c>
      <c r="D61" s="14" t="s">
        <v>348</v>
      </c>
      <c r="E61" s="16" t="s">
        <v>349</v>
      </c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>
      <c r="A62" s="14" t="s">
        <v>351</v>
      </c>
      <c r="B62" s="14" t="s">
        <v>40</v>
      </c>
      <c r="C62" s="29" t="s">
        <v>352</v>
      </c>
      <c r="D62" s="14" t="s">
        <v>353</v>
      </c>
      <c r="E62" s="16" t="s">
        <v>354</v>
      </c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>
      <c r="A63" s="14" t="s">
        <v>356</v>
      </c>
      <c r="B63" s="14" t="s">
        <v>40</v>
      </c>
      <c r="C63" s="26" t="s">
        <v>357</v>
      </c>
      <c r="D63" s="14" t="s">
        <v>358</v>
      </c>
      <c r="E63" s="16" t="s">
        <v>359</v>
      </c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>
      <c r="A64" s="14" t="s">
        <v>360</v>
      </c>
      <c r="B64" s="14" t="s">
        <v>40</v>
      </c>
      <c r="C64" s="26" t="s">
        <v>361</v>
      </c>
      <c r="D64" s="14" t="s">
        <v>362</v>
      </c>
      <c r="E64" s="16" t="s">
        <v>363</v>
      </c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>
      <c r="A65" s="14" t="s">
        <v>364</v>
      </c>
      <c r="B65" s="14" t="s">
        <v>40</v>
      </c>
      <c r="C65" s="26" t="s">
        <v>365</v>
      </c>
      <c r="D65" s="14" t="s">
        <v>366</v>
      </c>
      <c r="E65" s="16" t="s">
        <v>367</v>
      </c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>
      <c r="A66" s="14" t="s">
        <v>369</v>
      </c>
      <c r="B66" s="14" t="s">
        <v>45</v>
      </c>
      <c r="C66" s="29" t="s">
        <v>370</v>
      </c>
      <c r="D66" s="14" t="s">
        <v>371</v>
      </c>
      <c r="E66" s="16" t="s">
        <v>373</v>
      </c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>
      <c r="A67" s="14" t="s">
        <v>374</v>
      </c>
      <c r="B67" s="14" t="s">
        <v>55</v>
      </c>
      <c r="C67" s="26" t="s">
        <v>375</v>
      </c>
      <c r="D67" s="14" t="s">
        <v>377</v>
      </c>
      <c r="E67" s="16" t="s">
        <v>378</v>
      </c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>
      <c r="A68" s="14" t="s">
        <v>379</v>
      </c>
      <c r="B68" s="14" t="s">
        <v>55</v>
      </c>
      <c r="C68" s="26" t="s">
        <v>381</v>
      </c>
      <c r="D68" s="14" t="s">
        <v>382</v>
      </c>
      <c r="E68" s="16" t="s">
        <v>383</v>
      </c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>
      <c r="A69" s="14" t="s">
        <v>384</v>
      </c>
      <c r="B69" s="14" t="s">
        <v>55</v>
      </c>
      <c r="C69" s="26" t="s">
        <v>385</v>
      </c>
      <c r="D69" s="14" t="s">
        <v>386</v>
      </c>
      <c r="E69" s="16" t="s">
        <v>387</v>
      </c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>
      <c r="A70" s="14" t="s">
        <v>389</v>
      </c>
      <c r="B70" s="14" t="s">
        <v>45</v>
      </c>
      <c r="C70" s="26" t="s">
        <v>390</v>
      </c>
      <c r="D70" s="14" t="s">
        <v>391</v>
      </c>
      <c r="E70" s="16" t="s">
        <v>392</v>
      </c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>
      <c r="A71" s="14" t="s">
        <v>395</v>
      </c>
      <c r="B71" s="14" t="s">
        <v>55</v>
      </c>
      <c r="C71" s="29" t="s">
        <v>396</v>
      </c>
      <c r="D71" s="14" t="s">
        <v>397</v>
      </c>
      <c r="E71" s="16" t="s">
        <v>398</v>
      </c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>
      <c r="A72" s="14" t="s">
        <v>400</v>
      </c>
      <c r="B72" s="14" t="s">
        <v>45</v>
      </c>
      <c r="C72" s="26" t="s">
        <v>401</v>
      </c>
      <c r="D72" s="14" t="s">
        <v>402</v>
      </c>
      <c r="E72" s="16" t="s">
        <v>403</v>
      </c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>
      <c r="A73" s="14" t="s">
        <v>404</v>
      </c>
      <c r="B73" s="14" t="s">
        <v>68</v>
      </c>
      <c r="C73" s="26" t="s">
        <v>405</v>
      </c>
      <c r="D73" s="14" t="s">
        <v>406</v>
      </c>
      <c r="E73" s="16" t="s">
        <v>407</v>
      </c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>
      <c r="A74" s="14" t="s">
        <v>409</v>
      </c>
      <c r="B74" s="14" t="s">
        <v>68</v>
      </c>
      <c r="C74" s="26" t="s">
        <v>410</v>
      </c>
      <c r="D74" s="14" t="s">
        <v>411</v>
      </c>
      <c r="E74" s="16" t="s">
        <v>412</v>
      </c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>
      <c r="A75" s="14" t="s">
        <v>414</v>
      </c>
      <c r="B75" s="14" t="s">
        <v>45</v>
      </c>
      <c r="C75" s="15" t="s">
        <v>416</v>
      </c>
      <c r="D75" s="14" t="s">
        <v>417</v>
      </c>
      <c r="E75" s="16" t="s">
        <v>418</v>
      </c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>
      <c r="A76" s="14" t="s">
        <v>419</v>
      </c>
      <c r="B76" s="14" t="s">
        <v>22</v>
      </c>
      <c r="C76" s="15" t="s">
        <v>420</v>
      </c>
      <c r="D76" s="14" t="s">
        <v>421</v>
      </c>
      <c r="E76" s="16" t="s">
        <v>422</v>
      </c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>
      <c r="A77" s="14" t="s">
        <v>423</v>
      </c>
      <c r="B77" s="14" t="s">
        <v>22</v>
      </c>
      <c r="C77" s="29" t="s">
        <v>424</v>
      </c>
      <c r="D77" s="14" t="s">
        <v>425</v>
      </c>
      <c r="E77" s="16" t="s">
        <v>426</v>
      </c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>
      <c r="A78" s="14" t="s">
        <v>428</v>
      </c>
      <c r="B78" s="14" t="s">
        <v>45</v>
      </c>
      <c r="C78" s="29" t="s">
        <v>429</v>
      </c>
      <c r="D78" s="14" t="s">
        <v>430</v>
      </c>
      <c r="E78" s="16" t="s">
        <v>431</v>
      </c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>
      <c r="A79" s="14" t="s">
        <v>432</v>
      </c>
      <c r="B79" s="14" t="s">
        <v>22</v>
      </c>
      <c r="C79" s="26" t="s">
        <v>433</v>
      </c>
      <c r="D79" s="14" t="s">
        <v>434</v>
      </c>
      <c r="E79" s="16" t="s">
        <v>435</v>
      </c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>
      <c r="A80" s="14" t="s">
        <v>437</v>
      </c>
      <c r="B80" s="14" t="s">
        <v>45</v>
      </c>
      <c r="C80" s="26" t="s">
        <v>438</v>
      </c>
      <c r="D80" s="14" t="s">
        <v>439</v>
      </c>
      <c r="E80" s="16" t="s">
        <v>440</v>
      </c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>
      <c r="A81" s="14" t="s">
        <v>441</v>
      </c>
      <c r="B81" s="14" t="s">
        <v>55</v>
      </c>
      <c r="C81" s="26" t="s">
        <v>442</v>
      </c>
      <c r="D81" s="14" t="s">
        <v>443</v>
      </c>
      <c r="E81" s="16" t="s">
        <v>444</v>
      </c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>
      <c r="A82" s="14" t="s">
        <v>446</v>
      </c>
      <c r="B82" s="14" t="s">
        <v>22</v>
      </c>
      <c r="C82" s="15" t="s">
        <v>447</v>
      </c>
      <c r="D82" s="14" t="s">
        <v>448</v>
      </c>
      <c r="E82" s="16" t="s">
        <v>449</v>
      </c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>
      <c r="A83" s="14" t="s">
        <v>450</v>
      </c>
      <c r="B83" s="14" t="s">
        <v>68</v>
      </c>
      <c r="C83" s="29" t="s">
        <v>451</v>
      </c>
      <c r="D83" s="14" t="s">
        <v>452</v>
      </c>
      <c r="E83" s="16" t="s">
        <v>453</v>
      </c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>
      <c r="A84" s="14" t="s">
        <v>454</v>
      </c>
      <c r="B84" s="14" t="s">
        <v>22</v>
      </c>
      <c r="C84" s="29" t="s">
        <v>455</v>
      </c>
      <c r="D84" s="14" t="s">
        <v>456</v>
      </c>
      <c r="E84" s="16" t="s">
        <v>457</v>
      </c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>
      <c r="A85" s="14" t="s">
        <v>458</v>
      </c>
      <c r="B85" s="14" t="s">
        <v>40</v>
      </c>
      <c r="C85" s="29" t="s">
        <v>460</v>
      </c>
      <c r="D85" s="14" t="s">
        <v>461</v>
      </c>
      <c r="E85" s="16" t="s">
        <v>462</v>
      </c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>
      <c r="A86" s="14" t="s">
        <v>463</v>
      </c>
      <c r="B86" s="14" t="s">
        <v>22</v>
      </c>
      <c r="C86" s="26" t="s">
        <v>464</v>
      </c>
      <c r="D86" s="14" t="s">
        <v>465</v>
      </c>
      <c r="E86" s="16" t="s">
        <v>466</v>
      </c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>
      <c r="A87" s="14" t="s">
        <v>468</v>
      </c>
      <c r="B87" s="14" t="s">
        <v>68</v>
      </c>
      <c r="C87" s="26" t="s">
        <v>469</v>
      </c>
      <c r="D87" s="14" t="s">
        <v>470</v>
      </c>
      <c r="E87" s="16" t="s">
        <v>471</v>
      </c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>
      <c r="A88" s="14" t="s">
        <v>474</v>
      </c>
      <c r="B88" s="14" t="s">
        <v>68</v>
      </c>
      <c r="C88" s="26" t="s">
        <v>475</v>
      </c>
      <c r="D88" s="14" t="s">
        <v>476</v>
      </c>
      <c r="E88" s="16" t="s">
        <v>477</v>
      </c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>
      <c r="A89" s="14" t="s">
        <v>479</v>
      </c>
      <c r="B89" s="14" t="s">
        <v>22</v>
      </c>
      <c r="C89" s="26" t="s">
        <v>480</v>
      </c>
      <c r="D89" s="14" t="s">
        <v>481</v>
      </c>
      <c r="E89" s="16" t="s">
        <v>482</v>
      </c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>
      <c r="A90" s="14" t="s">
        <v>483</v>
      </c>
      <c r="B90" s="14" t="s">
        <v>68</v>
      </c>
      <c r="C90" s="26" t="s">
        <v>484</v>
      </c>
      <c r="D90" s="14" t="s">
        <v>485</v>
      </c>
      <c r="E90" s="16" t="s">
        <v>486</v>
      </c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>
      <c r="A91" s="14" t="s">
        <v>488</v>
      </c>
      <c r="B91" s="14" t="s">
        <v>22</v>
      </c>
      <c r="C91" s="29" t="s">
        <v>489</v>
      </c>
      <c r="D91" s="14" t="s">
        <v>490</v>
      </c>
      <c r="E91" s="16" t="s">
        <v>491</v>
      </c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>
      <c r="A92" s="14" t="s">
        <v>492</v>
      </c>
      <c r="B92" s="14" t="s">
        <v>40</v>
      </c>
      <c r="C92" s="26" t="s">
        <v>493</v>
      </c>
      <c r="D92" s="14" t="s">
        <v>495</v>
      </c>
      <c r="E92" s="16" t="s">
        <v>496</v>
      </c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>
      <c r="A93" s="14" t="s">
        <v>497</v>
      </c>
      <c r="B93" s="14" t="s">
        <v>40</v>
      </c>
      <c r="C93" s="29" t="s">
        <v>499</v>
      </c>
      <c r="D93" s="14" t="s">
        <v>500</v>
      </c>
      <c r="E93" s="16" t="s">
        <v>501</v>
      </c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>
      <c r="A94" s="14" t="s">
        <v>502</v>
      </c>
      <c r="B94" s="14" t="s">
        <v>68</v>
      </c>
      <c r="C94" s="26" t="s">
        <v>503</v>
      </c>
      <c r="D94" s="14" t="s">
        <v>504</v>
      </c>
      <c r="E94" s="16" t="s">
        <v>506</v>
      </c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>
      <c r="A95" s="14" t="s">
        <v>509</v>
      </c>
      <c r="B95" s="14" t="s">
        <v>40</v>
      </c>
      <c r="C95" s="26" t="s">
        <v>510</v>
      </c>
      <c r="D95" s="14" t="s">
        <v>511</v>
      </c>
      <c r="E95" s="16" t="s">
        <v>512</v>
      </c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>
      <c r="A96" s="14" t="s">
        <v>514</v>
      </c>
      <c r="B96" s="14" t="s">
        <v>45</v>
      </c>
      <c r="C96" s="29" t="s">
        <v>515</v>
      </c>
      <c r="D96" s="14" t="s">
        <v>516</v>
      </c>
      <c r="E96" s="16" t="s">
        <v>517</v>
      </c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>
      <c r="A97" s="14" t="s">
        <v>518</v>
      </c>
      <c r="B97" s="14" t="s">
        <v>45</v>
      </c>
      <c r="C97" s="26" t="s">
        <v>519</v>
      </c>
      <c r="D97" s="14" t="s">
        <v>520</v>
      </c>
      <c r="E97" s="16" t="s">
        <v>521</v>
      </c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>
      <c r="A98" s="14" t="s">
        <v>523</v>
      </c>
      <c r="B98" s="14" t="s">
        <v>45</v>
      </c>
      <c r="C98" s="26" t="s">
        <v>524</v>
      </c>
      <c r="D98" s="14" t="s">
        <v>525</v>
      </c>
      <c r="E98" s="16" t="s">
        <v>526</v>
      </c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>
      <c r="A99" s="14" t="s">
        <v>528</v>
      </c>
      <c r="B99" s="14" t="s">
        <v>40</v>
      </c>
      <c r="C99" s="26" t="s">
        <v>529</v>
      </c>
      <c r="D99" s="14" t="s">
        <v>530</v>
      </c>
      <c r="E99" s="16" t="s">
        <v>531</v>
      </c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>
      <c r="A100" s="14" t="s">
        <v>532</v>
      </c>
      <c r="B100" s="14" t="s">
        <v>45</v>
      </c>
      <c r="C100" s="26" t="s">
        <v>533</v>
      </c>
      <c r="D100" s="14" t="s">
        <v>535</v>
      </c>
      <c r="E100" s="16" t="s">
        <v>536</v>
      </c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>
      <c r="A101" s="14" t="s">
        <v>537</v>
      </c>
      <c r="B101" s="14" t="s">
        <v>40</v>
      </c>
      <c r="C101" s="26" t="s">
        <v>538</v>
      </c>
      <c r="D101" s="14" t="s">
        <v>539</v>
      </c>
      <c r="E101" s="16" t="s">
        <v>540</v>
      </c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>
      <c r="A102" s="14" t="s">
        <v>542</v>
      </c>
      <c r="B102" s="14" t="s">
        <v>55</v>
      </c>
      <c r="C102" s="26" t="s">
        <v>543</v>
      </c>
      <c r="D102" s="14" t="s">
        <v>544</v>
      </c>
      <c r="E102" s="16" t="s">
        <v>146</v>
      </c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>
      <c r="A103" s="14" t="s">
        <v>545</v>
      </c>
      <c r="B103" s="14" t="s">
        <v>45</v>
      </c>
      <c r="C103" s="26" t="s">
        <v>546</v>
      </c>
      <c r="D103" s="14" t="s">
        <v>547</v>
      </c>
      <c r="E103" s="16" t="s">
        <v>548</v>
      </c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>
      <c r="A104" s="14" t="s">
        <v>550</v>
      </c>
      <c r="B104" s="14" t="s">
        <v>40</v>
      </c>
      <c r="C104" s="29" t="s">
        <v>551</v>
      </c>
      <c r="D104" s="14" t="s">
        <v>552</v>
      </c>
      <c r="E104" s="16" t="s">
        <v>553</v>
      </c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>
      <c r="A105" s="14" t="s">
        <v>555</v>
      </c>
      <c r="B105" s="14" t="s">
        <v>68</v>
      </c>
      <c r="C105" s="29" t="s">
        <v>556</v>
      </c>
      <c r="D105" s="14" t="s">
        <v>557</v>
      </c>
      <c r="E105" s="16" t="s">
        <v>558</v>
      </c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>
      <c r="A106" s="14" t="s">
        <v>559</v>
      </c>
      <c r="B106" s="14" t="s">
        <v>45</v>
      </c>
      <c r="C106" s="26" t="s">
        <v>560</v>
      </c>
      <c r="D106" s="14" t="s">
        <v>561</v>
      </c>
      <c r="E106" s="16" t="s">
        <v>562</v>
      </c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>
      <c r="A107" s="14" t="s">
        <v>564</v>
      </c>
      <c r="B107" s="14" t="s">
        <v>22</v>
      </c>
      <c r="C107" s="15" t="s">
        <v>565</v>
      </c>
      <c r="D107" s="14" t="s">
        <v>566</v>
      </c>
      <c r="E107" s="16" t="s">
        <v>567</v>
      </c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>
      <c r="A108" s="14" t="s">
        <v>569</v>
      </c>
      <c r="B108" s="14" t="s">
        <v>40</v>
      </c>
      <c r="C108" s="26" t="s">
        <v>570</v>
      </c>
      <c r="D108" s="14" t="s">
        <v>571</v>
      </c>
      <c r="E108" s="16" t="s">
        <v>572</v>
      </c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>
      <c r="A109" s="14" t="s">
        <v>573</v>
      </c>
      <c r="B109" s="14" t="s">
        <v>40</v>
      </c>
      <c r="C109" s="26" t="s">
        <v>574</v>
      </c>
      <c r="D109" s="14" t="s">
        <v>575</v>
      </c>
      <c r="E109" s="16" t="s">
        <v>577</v>
      </c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>
      <c r="A110" s="14" t="s">
        <v>580</v>
      </c>
      <c r="B110" s="14" t="s">
        <v>40</v>
      </c>
      <c r="C110" s="29" t="s">
        <v>581</v>
      </c>
      <c r="D110" s="14" t="s">
        <v>582</v>
      </c>
      <c r="E110" s="16" t="s">
        <v>583</v>
      </c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>
      <c r="A111" s="14" t="s">
        <v>585</v>
      </c>
      <c r="B111" s="14" t="s">
        <v>68</v>
      </c>
      <c r="C111" s="26" t="s">
        <v>587</v>
      </c>
      <c r="D111" s="14" t="s">
        <v>589</v>
      </c>
      <c r="E111" s="16" t="s">
        <v>590</v>
      </c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>
      <c r="A112" s="14" t="s">
        <v>593</v>
      </c>
      <c r="B112" s="14" t="s">
        <v>40</v>
      </c>
      <c r="C112" s="26" t="s">
        <v>594</v>
      </c>
      <c r="D112" s="14" t="s">
        <v>595</v>
      </c>
      <c r="E112" s="16" t="s">
        <v>596</v>
      </c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>
      <c r="A113" s="14" t="s">
        <v>597</v>
      </c>
      <c r="B113" s="14" t="s">
        <v>68</v>
      </c>
      <c r="C113" s="26" t="s">
        <v>599</v>
      </c>
      <c r="D113" s="14" t="s">
        <v>600</v>
      </c>
      <c r="E113" s="16" t="s">
        <v>601</v>
      </c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>
      <c r="A114" s="14" t="s">
        <v>602</v>
      </c>
      <c r="B114" s="14" t="s">
        <v>40</v>
      </c>
      <c r="C114" s="26" t="s">
        <v>603</v>
      </c>
      <c r="D114" s="14" t="s">
        <v>604</v>
      </c>
      <c r="E114" s="16" t="s">
        <v>606</v>
      </c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>
      <c r="A115" s="14" t="s">
        <v>608</v>
      </c>
      <c r="B115" s="14" t="s">
        <v>40</v>
      </c>
      <c r="C115" s="26" t="s">
        <v>609</v>
      </c>
      <c r="D115" s="14" t="s">
        <v>610</v>
      </c>
      <c r="E115" s="16" t="s">
        <v>611</v>
      </c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>
      <c r="A116" s="14" t="s">
        <v>613</v>
      </c>
      <c r="B116" s="14" t="s">
        <v>55</v>
      </c>
      <c r="C116" s="26" t="s">
        <v>614</v>
      </c>
      <c r="D116" s="14" t="s">
        <v>615</v>
      </c>
      <c r="E116" s="16" t="s">
        <v>616</v>
      </c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>
      <c r="A117" s="14" t="s">
        <v>618</v>
      </c>
      <c r="B117" s="14" t="s">
        <v>45</v>
      </c>
      <c r="C117" s="29" t="s">
        <v>619</v>
      </c>
      <c r="D117" s="14" t="s">
        <v>620</v>
      </c>
      <c r="E117" s="16" t="s">
        <v>621</v>
      </c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>
      <c r="A118" s="14" t="s">
        <v>622</v>
      </c>
      <c r="B118" s="14" t="s">
        <v>45</v>
      </c>
      <c r="C118" s="29" t="s">
        <v>623</v>
      </c>
      <c r="D118" s="14" t="s">
        <v>624</v>
      </c>
      <c r="E118" s="16" t="s">
        <v>625</v>
      </c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>
      <c r="A119" s="14" t="s">
        <v>627</v>
      </c>
      <c r="B119" s="14" t="s">
        <v>68</v>
      </c>
      <c r="C119" s="26" t="s">
        <v>628</v>
      </c>
      <c r="D119" s="14" t="s">
        <v>629</v>
      </c>
      <c r="E119" s="16" t="s">
        <v>630</v>
      </c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>
      <c r="A120" s="14" t="s">
        <v>632</v>
      </c>
      <c r="B120" s="14" t="s">
        <v>68</v>
      </c>
      <c r="C120" s="26" t="s">
        <v>633</v>
      </c>
      <c r="D120" s="14" t="s">
        <v>634</v>
      </c>
      <c r="E120" s="16" t="s">
        <v>58</v>
      </c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>
      <c r="A121" s="14" t="s">
        <v>635</v>
      </c>
      <c r="B121" s="14" t="s">
        <v>22</v>
      </c>
      <c r="C121" s="26" t="s">
        <v>637</v>
      </c>
      <c r="D121" s="14" t="s">
        <v>638</v>
      </c>
      <c r="E121" s="16" t="s">
        <v>639</v>
      </c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>
      <c r="A122" s="14" t="s">
        <v>640</v>
      </c>
      <c r="B122" s="14" t="s">
        <v>22</v>
      </c>
      <c r="C122" s="26" t="s">
        <v>641</v>
      </c>
      <c r="D122" s="14" t="s">
        <v>643</v>
      </c>
      <c r="E122" s="16" t="s">
        <v>644</v>
      </c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>
      <c r="A123" s="14" t="s">
        <v>645</v>
      </c>
      <c r="B123" s="14" t="s">
        <v>55</v>
      </c>
      <c r="C123" s="26" t="s">
        <v>646</v>
      </c>
      <c r="D123" s="14" t="s">
        <v>647</v>
      </c>
      <c r="E123" s="16" t="s">
        <v>648</v>
      </c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>
      <c r="A124" s="14" t="s">
        <v>650</v>
      </c>
      <c r="B124" s="14" t="s">
        <v>55</v>
      </c>
      <c r="C124" s="26" t="s">
        <v>651</v>
      </c>
      <c r="D124" s="14" t="s">
        <v>652</v>
      </c>
      <c r="E124" s="16" t="s">
        <v>140</v>
      </c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>
      <c r="A125" s="14" t="s">
        <v>655</v>
      </c>
      <c r="B125" s="14" t="s">
        <v>68</v>
      </c>
      <c r="C125" s="29" t="s">
        <v>656</v>
      </c>
      <c r="D125" s="14" t="s">
        <v>658</v>
      </c>
      <c r="E125" s="16" t="s">
        <v>660</v>
      </c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>
      <c r="A126" s="14" t="s">
        <v>662</v>
      </c>
      <c r="B126" s="14" t="s">
        <v>68</v>
      </c>
      <c r="C126" s="26" t="s">
        <v>663</v>
      </c>
      <c r="D126" s="14" t="s">
        <v>665</v>
      </c>
      <c r="E126" s="16" t="s">
        <v>666</v>
      </c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>
      <c r="A127" s="14" t="s">
        <v>667</v>
      </c>
      <c r="B127" s="14" t="s">
        <v>45</v>
      </c>
      <c r="C127" s="29" t="s">
        <v>668</v>
      </c>
      <c r="D127" s="14" t="s">
        <v>669</v>
      </c>
      <c r="E127" s="16" t="s">
        <v>670</v>
      </c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>
      <c r="A128" s="14" t="s">
        <v>672</v>
      </c>
      <c r="B128" s="14" t="s">
        <v>55</v>
      </c>
      <c r="C128" s="26" t="s">
        <v>673</v>
      </c>
      <c r="D128" s="14" t="s">
        <v>674</v>
      </c>
      <c r="E128" s="16" t="s">
        <v>675</v>
      </c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>
      <c r="A129" s="14" t="s">
        <v>677</v>
      </c>
      <c r="B129" s="14" t="s">
        <v>68</v>
      </c>
      <c r="C129" s="26" t="s">
        <v>678</v>
      </c>
      <c r="D129" s="14" t="s">
        <v>679</v>
      </c>
      <c r="E129" s="16" t="s">
        <v>680</v>
      </c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>
      <c r="A130" s="14" t="s">
        <v>682</v>
      </c>
      <c r="B130" s="14" t="s">
        <v>45</v>
      </c>
      <c r="C130" s="26" t="s">
        <v>683</v>
      </c>
      <c r="D130" s="14" t="s">
        <v>684</v>
      </c>
      <c r="E130" s="16" t="s">
        <v>685</v>
      </c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>
      <c r="A131" s="14" t="s">
        <v>686</v>
      </c>
      <c r="B131" s="14" t="s">
        <v>55</v>
      </c>
      <c r="C131" s="26" t="s">
        <v>688</v>
      </c>
      <c r="D131" s="14" t="s">
        <v>689</v>
      </c>
      <c r="E131" s="16" t="s">
        <v>690</v>
      </c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>
      <c r="A132" s="14" t="s">
        <v>693</v>
      </c>
      <c r="B132" s="14" t="s">
        <v>22</v>
      </c>
      <c r="C132" s="26" t="s">
        <v>694</v>
      </c>
      <c r="D132" s="14" t="s">
        <v>695</v>
      </c>
      <c r="E132" s="16" t="s">
        <v>696</v>
      </c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>
      <c r="A133" s="14" t="s">
        <v>698</v>
      </c>
      <c r="B133" s="14" t="s">
        <v>45</v>
      </c>
      <c r="C133" s="26" t="s">
        <v>699</v>
      </c>
      <c r="D133" s="14" t="s">
        <v>700</v>
      </c>
      <c r="E133" s="16" t="s">
        <v>701</v>
      </c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>
      <c r="A134" s="14" t="s">
        <v>703</v>
      </c>
      <c r="B134" s="14" t="s">
        <v>22</v>
      </c>
      <c r="C134" s="26" t="s">
        <v>704</v>
      </c>
      <c r="D134" s="14" t="s">
        <v>706</v>
      </c>
      <c r="E134" s="16" t="s">
        <v>707</v>
      </c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>
      <c r="A135" s="14" t="s">
        <v>708</v>
      </c>
      <c r="B135" s="14" t="s">
        <v>40</v>
      </c>
      <c r="C135" s="26" t="s">
        <v>709</v>
      </c>
      <c r="D135" s="14" t="s">
        <v>711</v>
      </c>
      <c r="E135" s="16" t="s">
        <v>712</v>
      </c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>
      <c r="A136" s="14" t="s">
        <v>714</v>
      </c>
      <c r="B136" s="14" t="s">
        <v>40</v>
      </c>
      <c r="C136" s="26" t="s">
        <v>715</v>
      </c>
      <c r="D136" s="14" t="s">
        <v>716</v>
      </c>
      <c r="E136" s="16" t="s">
        <v>717</v>
      </c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>
      <c r="A137" s="14" t="s">
        <v>719</v>
      </c>
      <c r="B137" s="14" t="s">
        <v>22</v>
      </c>
      <c r="C137" s="26" t="s">
        <v>720</v>
      </c>
      <c r="D137" s="14" t="s">
        <v>721</v>
      </c>
      <c r="E137" s="16" t="s">
        <v>722</v>
      </c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>
      <c r="A138" s="14" t="s">
        <v>724</v>
      </c>
      <c r="B138" s="14" t="s">
        <v>40</v>
      </c>
      <c r="C138" s="26" t="s">
        <v>725</v>
      </c>
      <c r="D138" s="14" t="s">
        <v>726</v>
      </c>
      <c r="E138" s="16" t="s">
        <v>727</v>
      </c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>
      <c r="A139" s="14" t="s">
        <v>728</v>
      </c>
      <c r="B139" s="14" t="s">
        <v>40</v>
      </c>
      <c r="C139" s="26" t="s">
        <v>730</v>
      </c>
      <c r="D139" s="14" t="s">
        <v>731</v>
      </c>
      <c r="E139" s="16" t="s">
        <v>732</v>
      </c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>
      <c r="A140" s="14" t="s">
        <v>733</v>
      </c>
      <c r="B140" s="14" t="s">
        <v>40</v>
      </c>
      <c r="C140" s="26" t="s">
        <v>734</v>
      </c>
      <c r="D140" s="14" t="s">
        <v>735</v>
      </c>
      <c r="E140" s="16" t="s">
        <v>736</v>
      </c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>
      <c r="A141" s="14" t="s">
        <v>737</v>
      </c>
      <c r="B141" s="14" t="s">
        <v>68</v>
      </c>
      <c r="C141" s="26" t="s">
        <v>738</v>
      </c>
      <c r="D141" s="14" t="s">
        <v>739</v>
      </c>
      <c r="E141" s="16" t="s">
        <v>740</v>
      </c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>
      <c r="A142" s="14" t="s">
        <v>741</v>
      </c>
      <c r="B142" s="14" t="s">
        <v>40</v>
      </c>
      <c r="C142" s="26" t="s">
        <v>742</v>
      </c>
      <c r="D142" s="14" t="s">
        <v>743</v>
      </c>
      <c r="E142" s="16" t="s">
        <v>744</v>
      </c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>
      <c r="A143" s="14" t="s">
        <v>746</v>
      </c>
      <c r="B143" s="14" t="s">
        <v>55</v>
      </c>
      <c r="C143" s="26" t="s">
        <v>747</v>
      </c>
      <c r="D143" s="14" t="s">
        <v>748</v>
      </c>
      <c r="E143" s="16" t="s">
        <v>749</v>
      </c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>
      <c r="A144" s="14" t="s">
        <v>750</v>
      </c>
      <c r="B144" s="14" t="s">
        <v>40</v>
      </c>
      <c r="C144" s="26" t="s">
        <v>752</v>
      </c>
      <c r="D144" s="14" t="s">
        <v>753</v>
      </c>
      <c r="E144" s="16" t="s">
        <v>754</v>
      </c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>
      <c r="A145" s="14" t="s">
        <v>755</v>
      </c>
      <c r="B145" s="14" t="s">
        <v>45</v>
      </c>
      <c r="C145" s="26" t="s">
        <v>756</v>
      </c>
      <c r="D145" s="14" t="s">
        <v>757</v>
      </c>
      <c r="E145" s="16" t="s">
        <v>758</v>
      </c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>
      <c r="A146" s="14" t="s">
        <v>760</v>
      </c>
      <c r="B146" s="14" t="s">
        <v>55</v>
      </c>
      <c r="C146" s="26" t="s">
        <v>761</v>
      </c>
      <c r="D146" s="14" t="s">
        <v>762</v>
      </c>
      <c r="E146" s="16" t="s">
        <v>763</v>
      </c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>
      <c r="A147" s="14" t="s">
        <v>764</v>
      </c>
      <c r="B147" s="14" t="s">
        <v>45</v>
      </c>
      <c r="C147" s="26" t="s">
        <v>765</v>
      </c>
      <c r="D147" s="14" t="s">
        <v>766</v>
      </c>
      <c r="E147" s="16" t="s">
        <v>767</v>
      </c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>
      <c r="A148" s="14" t="s">
        <v>770</v>
      </c>
      <c r="B148" s="14" t="s">
        <v>45</v>
      </c>
      <c r="C148" s="26" t="s">
        <v>771</v>
      </c>
      <c r="D148" s="14" t="s">
        <v>772</v>
      </c>
      <c r="E148" s="16" t="s">
        <v>773</v>
      </c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>
      <c r="A149" s="14" t="s">
        <v>774</v>
      </c>
      <c r="B149" s="14" t="s">
        <v>45</v>
      </c>
      <c r="C149" s="29" t="s">
        <v>775</v>
      </c>
      <c r="D149" s="14" t="s">
        <v>776</v>
      </c>
      <c r="E149" s="16" t="s">
        <v>777</v>
      </c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>
      <c r="A150" s="14" t="s">
        <v>778</v>
      </c>
      <c r="B150" s="14" t="s">
        <v>40</v>
      </c>
      <c r="C150" s="26" t="s">
        <v>779</v>
      </c>
      <c r="D150" s="14" t="s">
        <v>780</v>
      </c>
      <c r="E150" s="16" t="s">
        <v>781</v>
      </c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>
      <c r="A151" s="14" t="s">
        <v>784</v>
      </c>
      <c r="B151" s="14" t="s">
        <v>22</v>
      </c>
      <c r="C151" s="26" t="s">
        <v>785</v>
      </c>
      <c r="D151" s="14" t="s">
        <v>786</v>
      </c>
      <c r="E151" s="16" t="s">
        <v>787</v>
      </c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>
      <c r="A152" s="14" t="s">
        <v>789</v>
      </c>
      <c r="B152" s="14" t="s">
        <v>40</v>
      </c>
      <c r="C152" s="26" t="s">
        <v>790</v>
      </c>
      <c r="D152" s="14" t="s">
        <v>791</v>
      </c>
      <c r="E152" s="16" t="s">
        <v>792</v>
      </c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>
      <c r="A153" s="14" t="s">
        <v>794</v>
      </c>
      <c r="B153" s="14" t="s">
        <v>40</v>
      </c>
      <c r="C153" s="26" t="s">
        <v>795</v>
      </c>
      <c r="D153" s="14" t="s">
        <v>796</v>
      </c>
      <c r="E153" s="16" t="s">
        <v>797</v>
      </c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>
      <c r="A154" s="14" t="s">
        <v>799</v>
      </c>
      <c r="B154" s="14" t="s">
        <v>68</v>
      </c>
      <c r="C154" s="26" t="s">
        <v>800</v>
      </c>
      <c r="D154" s="14" t="s">
        <v>801</v>
      </c>
      <c r="E154" s="16" t="s">
        <v>802</v>
      </c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>
      <c r="A155" s="14" t="s">
        <v>804</v>
      </c>
      <c r="B155" s="14" t="s">
        <v>22</v>
      </c>
      <c r="C155" s="26" t="s">
        <v>805</v>
      </c>
      <c r="D155" s="14" t="s">
        <v>806</v>
      </c>
      <c r="E155" s="16" t="s">
        <v>807</v>
      </c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>
      <c r="A156" s="14" t="s">
        <v>809</v>
      </c>
      <c r="B156" s="14" t="s">
        <v>22</v>
      </c>
      <c r="C156" s="26" t="s">
        <v>810</v>
      </c>
      <c r="D156" s="14" t="s">
        <v>811</v>
      </c>
      <c r="E156" s="16" t="s">
        <v>812</v>
      </c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>
      <c r="A157" s="14" t="s">
        <v>817</v>
      </c>
      <c r="B157" s="14" t="s">
        <v>68</v>
      </c>
      <c r="C157" s="26" t="s">
        <v>818</v>
      </c>
      <c r="D157" s="14" t="s">
        <v>819</v>
      </c>
      <c r="E157" s="16" t="s">
        <v>821</v>
      </c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>
      <c r="A158" s="14" t="s">
        <v>822</v>
      </c>
      <c r="B158" s="14" t="s">
        <v>55</v>
      </c>
      <c r="C158" s="26" t="s">
        <v>824</v>
      </c>
      <c r="D158" s="14" t="s">
        <v>825</v>
      </c>
      <c r="E158" s="16" t="s">
        <v>826</v>
      </c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>
      <c r="A159" s="14" t="s">
        <v>827</v>
      </c>
      <c r="B159" s="14" t="s">
        <v>40</v>
      </c>
      <c r="C159" s="26" t="s">
        <v>828</v>
      </c>
      <c r="D159" s="14" t="s">
        <v>829</v>
      </c>
      <c r="E159" s="16" t="s">
        <v>830</v>
      </c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>
      <c r="A160" s="14" t="s">
        <v>831</v>
      </c>
      <c r="B160" s="14" t="s">
        <v>22</v>
      </c>
      <c r="C160" s="26" t="s">
        <v>832</v>
      </c>
      <c r="D160" s="14" t="s">
        <v>833</v>
      </c>
      <c r="E160" s="16" t="s">
        <v>835</v>
      </c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>
      <c r="A161" s="14" t="s">
        <v>836</v>
      </c>
      <c r="B161" s="14" t="s">
        <v>68</v>
      </c>
      <c r="C161" s="26" t="s">
        <v>838</v>
      </c>
      <c r="D161" s="14" t="s">
        <v>839</v>
      </c>
      <c r="E161" s="16" t="s">
        <v>840</v>
      </c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>
      <c r="A162" s="14" t="s">
        <v>841</v>
      </c>
      <c r="B162" s="14" t="s">
        <v>40</v>
      </c>
      <c r="C162" s="26" t="s">
        <v>842</v>
      </c>
      <c r="D162" s="14" t="s">
        <v>844</v>
      </c>
      <c r="E162" s="16" t="s">
        <v>845</v>
      </c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>
      <c r="A163" s="14" t="s">
        <v>846</v>
      </c>
      <c r="B163" s="14" t="s">
        <v>40</v>
      </c>
      <c r="C163" s="26" t="s">
        <v>848</v>
      </c>
      <c r="D163" s="14" t="s">
        <v>849</v>
      </c>
      <c r="E163" s="16" t="s">
        <v>850</v>
      </c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>
      <c r="A164" s="14" t="s">
        <v>852</v>
      </c>
      <c r="B164" s="14" t="s">
        <v>22</v>
      </c>
      <c r="C164" s="26" t="s">
        <v>853</v>
      </c>
      <c r="D164" s="14" t="s">
        <v>854</v>
      </c>
      <c r="E164" s="16" t="s">
        <v>855</v>
      </c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>
      <c r="A165" s="14" t="s">
        <v>857</v>
      </c>
      <c r="B165" s="14" t="s">
        <v>55</v>
      </c>
      <c r="C165" s="26" t="s">
        <v>858</v>
      </c>
      <c r="D165" s="14" t="s">
        <v>859</v>
      </c>
      <c r="E165" s="16" t="s">
        <v>860</v>
      </c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>
      <c r="A166" s="14" t="s">
        <v>862</v>
      </c>
      <c r="B166" s="14" t="s">
        <v>22</v>
      </c>
      <c r="C166" s="26" t="s">
        <v>863</v>
      </c>
      <c r="D166" s="14" t="s">
        <v>864</v>
      </c>
      <c r="E166" s="16" t="s">
        <v>865</v>
      </c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>
      <c r="A167" s="14" t="s">
        <v>867</v>
      </c>
      <c r="B167" s="14" t="s">
        <v>55</v>
      </c>
      <c r="C167" s="26" t="s">
        <v>868</v>
      </c>
      <c r="D167" s="14" t="s">
        <v>869</v>
      </c>
      <c r="E167" s="16" t="s">
        <v>870</v>
      </c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>
      <c r="A168" s="14" t="s">
        <v>872</v>
      </c>
      <c r="B168" s="14" t="s">
        <v>68</v>
      </c>
      <c r="C168" s="26" t="s">
        <v>873</v>
      </c>
      <c r="D168" s="14" t="s">
        <v>874</v>
      </c>
      <c r="E168" s="16" t="s">
        <v>875</v>
      </c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>
      <c r="A169" s="14" t="s">
        <v>877</v>
      </c>
      <c r="B169" s="14" t="s">
        <v>68</v>
      </c>
      <c r="C169" s="26" t="s">
        <v>878</v>
      </c>
      <c r="D169" s="14" t="s">
        <v>879</v>
      </c>
      <c r="E169" s="16" t="s">
        <v>880</v>
      </c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>
      <c r="A170" s="14" t="s">
        <v>882</v>
      </c>
      <c r="B170" s="14" t="s">
        <v>22</v>
      </c>
      <c r="C170" s="15" t="s">
        <v>883</v>
      </c>
      <c r="D170" s="14" t="s">
        <v>884</v>
      </c>
      <c r="E170" s="16" t="s">
        <v>885</v>
      </c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>
      <c r="A171" s="14" t="s">
        <v>887</v>
      </c>
      <c r="B171" s="14" t="s">
        <v>22</v>
      </c>
      <c r="C171" s="26" t="s">
        <v>888</v>
      </c>
      <c r="D171" s="14" t="s">
        <v>889</v>
      </c>
      <c r="E171" s="16" t="s">
        <v>890</v>
      </c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>
      <c r="A172" s="14" t="s">
        <v>892</v>
      </c>
      <c r="B172" s="14" t="s">
        <v>40</v>
      </c>
      <c r="C172" s="29" t="s">
        <v>893</v>
      </c>
      <c r="D172" s="14" t="s">
        <v>895</v>
      </c>
      <c r="E172" s="16" t="s">
        <v>896</v>
      </c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>
      <c r="A173" s="14" t="s">
        <v>897</v>
      </c>
      <c r="B173" s="14" t="s">
        <v>40</v>
      </c>
      <c r="C173" s="26" t="s">
        <v>898</v>
      </c>
      <c r="D173" s="14" t="s">
        <v>899</v>
      </c>
      <c r="E173" s="16" t="s">
        <v>900</v>
      </c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>
      <c r="A174" s="14" t="s">
        <v>903</v>
      </c>
      <c r="B174" s="14" t="s">
        <v>40</v>
      </c>
      <c r="C174" s="26" t="s">
        <v>904</v>
      </c>
      <c r="D174" s="14" t="s">
        <v>905</v>
      </c>
      <c r="E174" s="16" t="s">
        <v>907</v>
      </c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>
      <c r="A175" s="14" t="s">
        <v>909</v>
      </c>
      <c r="B175" s="14" t="s">
        <v>68</v>
      </c>
      <c r="C175" s="15" t="s">
        <v>910</v>
      </c>
      <c r="D175" s="14" t="s">
        <v>911</v>
      </c>
      <c r="E175" s="16" t="s">
        <v>912</v>
      </c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>
      <c r="A176" s="14" t="s">
        <v>914</v>
      </c>
      <c r="B176" s="14" t="s">
        <v>68</v>
      </c>
      <c r="C176" s="15" t="s">
        <v>916</v>
      </c>
      <c r="D176" s="14" t="s">
        <v>917</v>
      </c>
      <c r="E176" s="16" t="s">
        <v>918</v>
      </c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>
      <c r="A177" s="14" t="s">
        <v>920</v>
      </c>
      <c r="B177" s="14" t="s">
        <v>68</v>
      </c>
      <c r="C177" s="15" t="s">
        <v>921</v>
      </c>
      <c r="D177" s="14" t="s">
        <v>922</v>
      </c>
      <c r="E177" s="16" t="s">
        <v>923</v>
      </c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>
      <c r="A178" s="14" t="s">
        <v>925</v>
      </c>
      <c r="B178" s="14" t="s">
        <v>68</v>
      </c>
      <c r="C178" s="15" t="s">
        <v>926</v>
      </c>
      <c r="D178" s="14" t="s">
        <v>927</v>
      </c>
      <c r="E178" s="16" t="s">
        <v>65</v>
      </c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>
      <c r="A179" s="16"/>
      <c r="B179" s="16"/>
      <c r="C179" s="46"/>
      <c r="D179" s="16"/>
      <c r="E179" s="16" t="s">
        <v>930</v>
      </c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>
      <c r="A180" s="16"/>
      <c r="B180" s="16"/>
      <c r="C180" s="46"/>
      <c r="D180" s="16"/>
      <c r="E180" s="16" t="s">
        <v>930</v>
      </c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>
      <c r="A181" s="16"/>
      <c r="B181" s="16"/>
      <c r="C181" s="46"/>
      <c r="D181" s="16"/>
      <c r="E181" s="16" t="s">
        <v>930</v>
      </c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>
      <c r="A182" s="16"/>
      <c r="B182" s="16"/>
      <c r="C182" s="46"/>
      <c r="D182" s="16"/>
      <c r="E182" s="16" t="s">
        <v>930</v>
      </c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>
      <c r="A183" s="16"/>
      <c r="B183" s="16"/>
      <c r="C183" s="46"/>
      <c r="D183" s="16"/>
      <c r="E183" s="16" t="s">
        <v>930</v>
      </c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>
      <c r="A184" s="16"/>
      <c r="B184" s="16"/>
      <c r="C184" s="46"/>
      <c r="D184" s="16"/>
      <c r="E184" s="16" t="s">
        <v>930</v>
      </c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>
      <c r="A185" s="16"/>
      <c r="B185" s="16"/>
      <c r="C185" s="46"/>
      <c r="D185" s="16"/>
      <c r="E185" s="16" t="s">
        <v>930</v>
      </c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>
      <c r="A186" s="16"/>
      <c r="B186" s="16"/>
      <c r="C186" s="46"/>
      <c r="D186" s="16"/>
      <c r="E186" s="16" t="s">
        <v>930</v>
      </c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>
      <c r="A187" s="16"/>
      <c r="B187" s="16"/>
      <c r="C187" s="46"/>
      <c r="D187" s="16"/>
      <c r="E187" s="16" t="s">
        <v>930</v>
      </c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>
      <c r="A188" s="16"/>
      <c r="B188" s="16"/>
      <c r="C188" s="46"/>
      <c r="D188" s="16"/>
      <c r="E188" s="16" t="s">
        <v>930</v>
      </c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>
      <c r="A189" s="16"/>
      <c r="B189" s="16"/>
      <c r="C189" s="46"/>
      <c r="D189" s="16"/>
      <c r="E189" s="16" t="s">
        <v>930</v>
      </c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>
      <c r="A190" s="16"/>
      <c r="B190" s="16"/>
      <c r="C190" s="46"/>
      <c r="D190" s="16"/>
      <c r="E190" s="16" t="s">
        <v>930</v>
      </c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>
      <c r="A191" s="16"/>
      <c r="B191" s="16"/>
      <c r="C191" s="46"/>
      <c r="D191" s="16"/>
      <c r="E191" s="16" t="s">
        <v>930</v>
      </c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>
      <c r="A192" s="16"/>
      <c r="B192" s="16"/>
      <c r="C192" s="46"/>
      <c r="D192" s="16"/>
      <c r="E192" s="16" t="s">
        <v>930</v>
      </c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>
      <c r="A193" s="16"/>
      <c r="B193" s="16"/>
      <c r="C193" s="46"/>
      <c r="D193" s="16"/>
      <c r="E193" s="16" t="s">
        <v>930</v>
      </c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>
      <c r="A194" s="16"/>
      <c r="B194" s="16"/>
      <c r="C194" s="46"/>
      <c r="D194" s="16"/>
      <c r="E194" s="16" t="s">
        <v>930</v>
      </c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>
      <c r="A195" s="16"/>
      <c r="B195" s="16"/>
      <c r="C195" s="46"/>
      <c r="D195" s="16"/>
      <c r="E195" s="16" t="s">
        <v>930</v>
      </c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>
      <c r="A196" s="16"/>
      <c r="B196" s="16"/>
      <c r="C196" s="46"/>
      <c r="D196" s="16"/>
      <c r="E196" s="16" t="s">
        <v>930</v>
      </c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>
      <c r="A197" s="16"/>
      <c r="B197" s="16"/>
      <c r="C197" s="46"/>
      <c r="D197" s="16"/>
      <c r="E197" s="16" t="s">
        <v>930</v>
      </c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>
      <c r="A198" s="16"/>
      <c r="B198" s="16"/>
      <c r="C198" s="46"/>
      <c r="D198" s="16"/>
      <c r="E198" s="16" t="s">
        <v>930</v>
      </c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>
      <c r="A199" s="16"/>
      <c r="B199" s="16"/>
      <c r="C199" s="46"/>
      <c r="D199" s="16"/>
      <c r="E199" s="16" t="s">
        <v>930</v>
      </c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>
      <c r="A200" s="16"/>
      <c r="B200" s="16"/>
      <c r="C200" s="46"/>
      <c r="D200" s="16"/>
      <c r="E200" s="16" t="s">
        <v>930</v>
      </c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>
      <c r="A201" s="16"/>
      <c r="B201" s="16"/>
      <c r="C201" s="46"/>
      <c r="D201" s="16"/>
      <c r="E201" s="16" t="s">
        <v>930</v>
      </c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>
      <c r="A202" s="16"/>
      <c r="B202" s="16"/>
      <c r="C202" s="46"/>
      <c r="D202" s="16"/>
      <c r="E202" s="16" t="s">
        <v>930</v>
      </c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>
      <c r="A203" s="16"/>
      <c r="B203" s="16"/>
      <c r="C203" s="46"/>
      <c r="D203" s="16"/>
      <c r="E203" s="16" t="s">
        <v>930</v>
      </c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>
      <c r="A204" s="16"/>
      <c r="B204" s="16"/>
      <c r="C204" s="46"/>
      <c r="D204" s="16"/>
      <c r="E204" s="16" t="s">
        <v>930</v>
      </c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>
      <c r="A205" s="16"/>
      <c r="B205" s="16"/>
      <c r="C205" s="46"/>
      <c r="D205" s="16"/>
      <c r="E205" s="16" t="s">
        <v>930</v>
      </c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>
      <c r="A206" s="16"/>
      <c r="B206" s="16"/>
      <c r="C206" s="46"/>
      <c r="D206" s="16"/>
      <c r="E206" s="16" t="s">
        <v>930</v>
      </c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>
      <c r="A207" s="16"/>
      <c r="B207" s="16"/>
      <c r="C207" s="46"/>
      <c r="D207" s="16"/>
      <c r="E207" s="16" t="s">
        <v>930</v>
      </c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>
      <c r="A208" s="16"/>
      <c r="B208" s="16"/>
      <c r="C208" s="46"/>
      <c r="D208" s="16"/>
      <c r="E208" s="16" t="s">
        <v>930</v>
      </c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>
      <c r="A209" s="16"/>
      <c r="B209" s="16"/>
      <c r="C209" s="46"/>
      <c r="D209" s="16"/>
      <c r="E209" s="16" t="s">
        <v>930</v>
      </c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>
      <c r="A210" s="16"/>
      <c r="B210" s="16"/>
      <c r="C210" s="46"/>
      <c r="D210" s="16"/>
      <c r="E210" s="16" t="s">
        <v>930</v>
      </c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>
      <c r="A211" s="16"/>
      <c r="B211" s="16"/>
      <c r="C211" s="46"/>
      <c r="D211" s="16"/>
      <c r="E211" s="16" t="s">
        <v>930</v>
      </c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>
      <c r="A212" s="16"/>
      <c r="B212" s="16"/>
      <c r="C212" s="46"/>
      <c r="D212" s="16"/>
      <c r="E212" s="16" t="s">
        <v>930</v>
      </c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>
      <c r="A213" s="16"/>
      <c r="B213" s="16"/>
      <c r="C213" s="46"/>
      <c r="D213" s="16"/>
      <c r="E213" s="16" t="s">
        <v>930</v>
      </c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>
      <c r="A214" s="16"/>
      <c r="B214" s="16"/>
      <c r="C214" s="46"/>
      <c r="D214" s="16"/>
      <c r="E214" s="16" t="s">
        <v>930</v>
      </c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>
      <c r="A215" s="16"/>
      <c r="B215" s="16"/>
      <c r="C215" s="46"/>
      <c r="D215" s="16"/>
      <c r="E215" s="16" t="s">
        <v>930</v>
      </c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>
      <c r="A216" s="16"/>
      <c r="B216" s="16"/>
      <c r="C216" s="46"/>
      <c r="D216" s="16"/>
      <c r="E216" s="16" t="s">
        <v>930</v>
      </c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>
      <c r="A217" s="16"/>
      <c r="B217" s="16"/>
      <c r="C217" s="46"/>
      <c r="D217" s="16"/>
      <c r="E217" s="16" t="s">
        <v>930</v>
      </c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>
      <c r="A218" s="16"/>
      <c r="B218" s="16"/>
      <c r="C218" s="46"/>
      <c r="D218" s="16"/>
      <c r="E218" s="16" t="s">
        <v>930</v>
      </c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>
      <c r="A219" s="16"/>
      <c r="B219" s="16"/>
      <c r="C219" s="46"/>
      <c r="D219" s="16"/>
      <c r="E219" s="16" t="s">
        <v>930</v>
      </c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>
      <c r="A220" s="16"/>
      <c r="B220" s="16"/>
      <c r="C220" s="46"/>
      <c r="D220" s="16"/>
      <c r="E220" s="16" t="s">
        <v>930</v>
      </c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>
      <c r="A221" s="16"/>
      <c r="B221" s="16"/>
      <c r="C221" s="46"/>
      <c r="D221" s="16"/>
      <c r="E221" s="16" t="s">
        <v>930</v>
      </c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>
      <c r="A222" s="16"/>
      <c r="B222" s="16"/>
      <c r="C222" s="46"/>
      <c r="D222" s="16"/>
      <c r="E222" s="16" t="s">
        <v>930</v>
      </c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>
      <c r="A223" s="16"/>
      <c r="B223" s="16"/>
      <c r="C223" s="46"/>
      <c r="D223" s="16"/>
      <c r="E223" s="16" t="s">
        <v>930</v>
      </c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>
      <c r="A224" s="16"/>
      <c r="B224" s="16"/>
      <c r="C224" s="46"/>
      <c r="D224" s="16"/>
      <c r="E224" s="16" t="s">
        <v>930</v>
      </c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>
      <c r="A225" s="16"/>
      <c r="B225" s="16"/>
      <c r="C225" s="46"/>
      <c r="D225" s="16"/>
      <c r="E225" s="16" t="s">
        <v>930</v>
      </c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>
      <c r="A226" s="16"/>
      <c r="B226" s="16"/>
      <c r="C226" s="46"/>
      <c r="D226" s="16"/>
      <c r="E226" s="16" t="s">
        <v>930</v>
      </c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>
      <c r="A227" s="16"/>
      <c r="B227" s="16"/>
      <c r="C227" s="46"/>
      <c r="D227" s="16"/>
      <c r="E227" s="16" t="s">
        <v>930</v>
      </c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>
      <c r="A228" s="16"/>
      <c r="B228" s="16"/>
      <c r="C228" s="46"/>
      <c r="D228" s="16"/>
      <c r="E228" s="16" t="s">
        <v>930</v>
      </c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>
      <c r="A229" s="16"/>
      <c r="B229" s="16"/>
      <c r="C229" s="46"/>
      <c r="D229" s="16"/>
      <c r="E229" s="16" t="s">
        <v>930</v>
      </c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>
      <c r="A230" s="16"/>
      <c r="B230" s="16"/>
      <c r="C230" s="46"/>
      <c r="D230" s="16"/>
      <c r="E230" s="16" t="s">
        <v>930</v>
      </c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>
      <c r="A231" s="16"/>
      <c r="B231" s="16"/>
      <c r="C231" s="46"/>
      <c r="D231" s="16"/>
      <c r="E231" s="16" t="s">
        <v>930</v>
      </c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>
      <c r="A232" s="16"/>
      <c r="B232" s="16"/>
      <c r="C232" s="46"/>
      <c r="D232" s="16"/>
      <c r="E232" s="16" t="s">
        <v>930</v>
      </c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>
      <c r="A233" s="16"/>
      <c r="B233" s="16"/>
      <c r="C233" s="46"/>
      <c r="D233" s="16"/>
      <c r="E233" s="16" t="s">
        <v>930</v>
      </c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>
      <c r="A234" s="16"/>
      <c r="B234" s="16"/>
      <c r="C234" s="46"/>
      <c r="D234" s="16"/>
      <c r="E234" s="16" t="s">
        <v>930</v>
      </c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>
      <c r="A235" s="16"/>
      <c r="B235" s="16"/>
      <c r="C235" s="46"/>
      <c r="D235" s="16"/>
      <c r="E235" s="16" t="s">
        <v>930</v>
      </c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>
      <c r="A236" s="16"/>
      <c r="B236" s="16"/>
      <c r="C236" s="46"/>
      <c r="D236" s="16"/>
      <c r="E236" s="16" t="s">
        <v>930</v>
      </c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>
      <c r="A237" s="16"/>
      <c r="B237" s="16"/>
      <c r="C237" s="46"/>
      <c r="D237" s="16"/>
      <c r="E237" s="16" t="s">
        <v>930</v>
      </c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>
      <c r="A238" s="16"/>
      <c r="B238" s="16"/>
      <c r="C238" s="46"/>
      <c r="D238" s="16"/>
      <c r="E238" s="16" t="s">
        <v>930</v>
      </c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>
      <c r="A239" s="16"/>
      <c r="B239" s="16"/>
      <c r="C239" s="46"/>
      <c r="D239" s="16"/>
      <c r="E239" s="16" t="s">
        <v>930</v>
      </c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>
      <c r="A240" s="16"/>
      <c r="B240" s="16"/>
      <c r="C240" s="46"/>
      <c r="D240" s="16"/>
      <c r="E240" s="16" t="s">
        <v>930</v>
      </c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>
      <c r="A241" s="16"/>
      <c r="B241" s="16"/>
      <c r="C241" s="46"/>
      <c r="D241" s="16"/>
      <c r="E241" s="16" t="s">
        <v>930</v>
      </c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>
      <c r="A242" s="16"/>
      <c r="B242" s="16"/>
      <c r="C242" s="46"/>
      <c r="D242" s="16"/>
      <c r="E242" s="16" t="s">
        <v>930</v>
      </c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>
      <c r="A243" s="16"/>
      <c r="B243" s="16"/>
      <c r="C243" s="46"/>
      <c r="D243" s="16"/>
      <c r="E243" s="16" t="s">
        <v>930</v>
      </c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>
      <c r="A244" s="16"/>
      <c r="B244" s="16"/>
      <c r="C244" s="46"/>
      <c r="D244" s="16"/>
      <c r="E244" s="16" t="s">
        <v>930</v>
      </c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>
      <c r="A245" s="16"/>
      <c r="B245" s="16"/>
      <c r="C245" s="46"/>
      <c r="D245" s="16"/>
      <c r="E245" s="16" t="s">
        <v>930</v>
      </c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>
      <c r="A246" s="16"/>
      <c r="B246" s="16"/>
      <c r="C246" s="46"/>
      <c r="D246" s="16"/>
      <c r="E246" s="16" t="s">
        <v>930</v>
      </c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>
      <c r="A247" s="16"/>
      <c r="B247" s="16"/>
      <c r="C247" s="46"/>
      <c r="D247" s="16"/>
      <c r="E247" s="16" t="s">
        <v>930</v>
      </c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>
      <c r="A248" s="16"/>
      <c r="B248" s="16"/>
      <c r="C248" s="46"/>
      <c r="D248" s="16"/>
      <c r="E248" s="16" t="s">
        <v>930</v>
      </c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>
      <c r="A249" s="16"/>
      <c r="B249" s="16"/>
      <c r="C249" s="46"/>
      <c r="D249" s="16"/>
      <c r="E249" s="16" t="s">
        <v>930</v>
      </c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>
      <c r="A250" s="16"/>
      <c r="B250" s="16"/>
      <c r="C250" s="46"/>
      <c r="D250" s="16"/>
      <c r="E250" s="16" t="s">
        <v>930</v>
      </c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>
      <c r="A251" s="16"/>
      <c r="B251" s="16"/>
      <c r="C251" s="46"/>
      <c r="D251" s="16"/>
      <c r="E251" s="16" t="s">
        <v>930</v>
      </c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>
      <c r="A252" s="16"/>
      <c r="B252" s="16"/>
      <c r="C252" s="46"/>
      <c r="D252" s="16"/>
      <c r="E252" s="16" t="s">
        <v>930</v>
      </c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>
      <c r="A253" s="16"/>
      <c r="B253" s="16"/>
      <c r="C253" s="46"/>
      <c r="D253" s="16"/>
      <c r="E253" s="16" t="s">
        <v>930</v>
      </c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>
      <c r="A254" s="16"/>
      <c r="B254" s="16"/>
      <c r="C254" s="46"/>
      <c r="D254" s="16"/>
      <c r="E254" s="16" t="s">
        <v>930</v>
      </c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>
      <c r="A255" s="16"/>
      <c r="B255" s="16"/>
      <c r="C255" s="46"/>
      <c r="D255" s="16"/>
      <c r="E255" s="16" t="s">
        <v>930</v>
      </c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>
      <c r="A256" s="16"/>
      <c r="B256" s="16"/>
      <c r="C256" s="46"/>
      <c r="D256" s="16"/>
      <c r="E256" s="16" t="s">
        <v>930</v>
      </c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>
      <c r="A257" s="16"/>
      <c r="B257" s="16"/>
      <c r="C257" s="46"/>
      <c r="D257" s="16"/>
      <c r="E257" s="16" t="s">
        <v>930</v>
      </c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>
      <c r="A258" s="16"/>
      <c r="B258" s="16"/>
      <c r="C258" s="46"/>
      <c r="D258" s="16"/>
      <c r="E258" s="16" t="s">
        <v>930</v>
      </c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>
      <c r="A259" s="16"/>
      <c r="B259" s="16"/>
      <c r="C259" s="46"/>
      <c r="D259" s="16"/>
      <c r="E259" s="16" t="s">
        <v>930</v>
      </c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>
      <c r="A260" s="16"/>
      <c r="B260" s="16"/>
      <c r="C260" s="46"/>
      <c r="D260" s="16"/>
      <c r="E260" s="16" t="s">
        <v>930</v>
      </c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>
      <c r="A261" s="16"/>
      <c r="B261" s="16"/>
      <c r="C261" s="46"/>
      <c r="D261" s="16"/>
      <c r="E261" s="16" t="s">
        <v>930</v>
      </c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>
      <c r="A262" s="16"/>
      <c r="B262" s="16"/>
      <c r="C262" s="46"/>
      <c r="D262" s="16"/>
      <c r="E262" s="16" t="s">
        <v>930</v>
      </c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>
      <c r="A263" s="16"/>
      <c r="B263" s="16"/>
      <c r="C263" s="46"/>
      <c r="D263" s="16"/>
      <c r="E263" s="16" t="s">
        <v>930</v>
      </c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>
      <c r="A264" s="16"/>
      <c r="B264" s="16"/>
      <c r="C264" s="46"/>
      <c r="D264" s="16"/>
      <c r="E264" s="16" t="s">
        <v>930</v>
      </c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>
      <c r="A265" s="16"/>
      <c r="B265" s="16"/>
      <c r="C265" s="46"/>
      <c r="D265" s="16"/>
      <c r="E265" s="16" t="s">
        <v>930</v>
      </c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>
      <c r="A266" s="16"/>
      <c r="B266" s="16"/>
      <c r="C266" s="46"/>
      <c r="D266" s="16"/>
      <c r="E266" s="16" t="s">
        <v>930</v>
      </c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>
      <c r="A267" s="16"/>
      <c r="B267" s="16"/>
      <c r="C267" s="46"/>
      <c r="D267" s="16"/>
      <c r="E267" s="16" t="s">
        <v>930</v>
      </c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>
      <c r="A268" s="16"/>
      <c r="B268" s="16"/>
      <c r="C268" s="46"/>
      <c r="D268" s="16"/>
      <c r="E268" s="16" t="s">
        <v>930</v>
      </c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>
      <c r="A269" s="16"/>
      <c r="B269" s="16"/>
      <c r="C269" s="46"/>
      <c r="D269" s="16"/>
      <c r="E269" s="16" t="s">
        <v>930</v>
      </c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>
      <c r="A270" s="16"/>
      <c r="B270" s="16"/>
      <c r="C270" s="46"/>
      <c r="D270" s="16"/>
      <c r="E270" s="16" t="s">
        <v>930</v>
      </c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>
      <c r="A271" s="16"/>
      <c r="B271" s="16"/>
      <c r="C271" s="46"/>
      <c r="D271" s="16"/>
      <c r="E271" s="16" t="s">
        <v>930</v>
      </c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>
      <c r="A272" s="16"/>
      <c r="B272" s="16"/>
      <c r="C272" s="46"/>
      <c r="D272" s="16"/>
      <c r="E272" s="16" t="s">
        <v>930</v>
      </c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>
      <c r="A273" s="16"/>
      <c r="B273" s="16"/>
      <c r="C273" s="46"/>
      <c r="D273" s="16"/>
      <c r="E273" s="16" t="s">
        <v>930</v>
      </c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>
      <c r="A274" s="16"/>
      <c r="B274" s="16"/>
      <c r="C274" s="46"/>
      <c r="D274" s="16"/>
      <c r="E274" s="16" t="s">
        <v>930</v>
      </c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>
      <c r="A275" s="16"/>
      <c r="B275" s="16"/>
      <c r="C275" s="46"/>
      <c r="D275" s="16"/>
      <c r="E275" s="16" t="s">
        <v>930</v>
      </c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>
      <c r="A276" s="16"/>
      <c r="B276" s="16"/>
      <c r="C276" s="46"/>
      <c r="D276" s="16"/>
      <c r="E276" s="16" t="s">
        <v>930</v>
      </c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>
      <c r="A277" s="16"/>
      <c r="B277" s="16"/>
      <c r="C277" s="46"/>
      <c r="D277" s="16"/>
      <c r="E277" s="16" t="s">
        <v>930</v>
      </c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>
      <c r="A278" s="16"/>
      <c r="B278" s="16"/>
      <c r="C278" s="46"/>
      <c r="D278" s="16"/>
      <c r="E278" s="16" t="s">
        <v>930</v>
      </c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>
      <c r="A279" s="16"/>
      <c r="B279" s="16"/>
      <c r="C279" s="46"/>
      <c r="D279" s="16"/>
      <c r="E279" s="16" t="s">
        <v>930</v>
      </c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>
      <c r="A280" s="16"/>
      <c r="B280" s="16"/>
      <c r="C280" s="46"/>
      <c r="D280" s="16"/>
      <c r="E280" s="16" t="s">
        <v>930</v>
      </c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>
      <c r="A281" s="16"/>
      <c r="B281" s="16"/>
      <c r="C281" s="46"/>
      <c r="D281" s="16"/>
      <c r="E281" s="16" t="s">
        <v>930</v>
      </c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>
      <c r="A282" s="16"/>
      <c r="B282" s="16"/>
      <c r="C282" s="46"/>
      <c r="D282" s="16"/>
      <c r="E282" s="16" t="s">
        <v>930</v>
      </c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>
      <c r="A283" s="16"/>
      <c r="B283" s="16"/>
      <c r="C283" s="46"/>
      <c r="D283" s="16"/>
      <c r="E283" s="16" t="s">
        <v>930</v>
      </c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>
      <c r="A284" s="16"/>
      <c r="B284" s="16"/>
      <c r="C284" s="46"/>
      <c r="D284" s="16"/>
      <c r="E284" s="16" t="s">
        <v>930</v>
      </c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>
      <c r="A285" s="16"/>
      <c r="B285" s="16"/>
      <c r="C285" s="46"/>
      <c r="D285" s="16"/>
      <c r="E285" s="16" t="s">
        <v>930</v>
      </c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>
      <c r="A286" s="16"/>
      <c r="B286" s="16"/>
      <c r="C286" s="46"/>
      <c r="D286" s="16"/>
      <c r="E286" s="16" t="s">
        <v>930</v>
      </c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>
      <c r="A287" s="16"/>
      <c r="B287" s="16"/>
      <c r="C287" s="46"/>
      <c r="D287" s="16"/>
      <c r="E287" s="16" t="s">
        <v>930</v>
      </c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>
      <c r="A288" s="16"/>
      <c r="B288" s="16"/>
      <c r="C288" s="46"/>
      <c r="D288" s="16"/>
      <c r="E288" s="16" t="s">
        <v>930</v>
      </c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>
      <c r="A289" s="16"/>
      <c r="B289" s="16"/>
      <c r="C289" s="46"/>
      <c r="D289" s="16"/>
      <c r="E289" s="16" t="s">
        <v>930</v>
      </c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>
      <c r="A290" s="16"/>
      <c r="B290" s="16"/>
      <c r="C290" s="46"/>
      <c r="D290" s="16"/>
      <c r="E290" s="16" t="s">
        <v>930</v>
      </c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>
      <c r="A291" s="16"/>
      <c r="B291" s="16"/>
      <c r="C291" s="46"/>
      <c r="D291" s="16"/>
      <c r="E291" s="16" t="s">
        <v>930</v>
      </c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>
      <c r="A292" s="16"/>
      <c r="B292" s="16"/>
      <c r="C292" s="46"/>
      <c r="D292" s="16"/>
      <c r="E292" s="16" t="s">
        <v>930</v>
      </c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>
      <c r="A293" s="16"/>
      <c r="B293" s="16"/>
      <c r="C293" s="46"/>
      <c r="D293" s="16"/>
      <c r="E293" s="16" t="s">
        <v>930</v>
      </c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>
      <c r="A294" s="16"/>
      <c r="B294" s="16"/>
      <c r="C294" s="46"/>
      <c r="D294" s="16"/>
      <c r="E294" s="16" t="s">
        <v>930</v>
      </c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>
      <c r="A295" s="16"/>
      <c r="B295" s="16"/>
      <c r="C295" s="46"/>
      <c r="D295" s="16"/>
      <c r="E295" s="16" t="s">
        <v>930</v>
      </c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>
      <c r="A296" s="16"/>
      <c r="B296" s="16"/>
      <c r="C296" s="46"/>
      <c r="D296" s="16"/>
      <c r="E296" s="16" t="s">
        <v>930</v>
      </c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>
      <c r="A297" s="16"/>
      <c r="B297" s="16"/>
      <c r="C297" s="46"/>
      <c r="D297" s="16"/>
      <c r="E297" s="16" t="s">
        <v>930</v>
      </c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>
      <c r="A298" s="16"/>
      <c r="B298" s="16"/>
      <c r="C298" s="46"/>
      <c r="D298" s="16"/>
      <c r="E298" s="16" t="s">
        <v>930</v>
      </c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>
      <c r="A299" s="16"/>
      <c r="B299" s="16"/>
      <c r="C299" s="46"/>
      <c r="D299" s="16"/>
      <c r="E299" s="16" t="s">
        <v>930</v>
      </c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>
      <c r="A300" s="16"/>
      <c r="B300" s="16"/>
      <c r="C300" s="46"/>
      <c r="D300" s="16"/>
      <c r="E300" s="16" t="s">
        <v>930</v>
      </c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>
      <c r="A301" s="16"/>
      <c r="B301" s="16"/>
      <c r="C301" s="46"/>
      <c r="D301" s="16"/>
      <c r="E301" s="16" t="s">
        <v>930</v>
      </c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>
      <c r="A302" s="16"/>
      <c r="B302" s="16"/>
      <c r="C302" s="46"/>
      <c r="D302" s="16"/>
      <c r="E302" s="16" t="s">
        <v>930</v>
      </c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>
      <c r="A303" s="16"/>
      <c r="B303" s="16"/>
      <c r="C303" s="46"/>
      <c r="D303" s="16"/>
      <c r="E303" s="16" t="s">
        <v>930</v>
      </c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>
      <c r="A304" s="16"/>
      <c r="B304" s="16"/>
      <c r="C304" s="46"/>
      <c r="D304" s="16"/>
      <c r="E304" s="16" t="s">
        <v>930</v>
      </c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>
      <c r="A305" s="16"/>
      <c r="B305" s="16"/>
      <c r="C305" s="46"/>
      <c r="D305" s="16"/>
      <c r="E305" s="16" t="s">
        <v>930</v>
      </c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>
      <c r="A306" s="16"/>
      <c r="B306" s="16"/>
      <c r="C306" s="46"/>
      <c r="D306" s="16"/>
      <c r="E306" s="16" t="s">
        <v>930</v>
      </c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>
      <c r="A307" s="16"/>
      <c r="B307" s="16"/>
      <c r="C307" s="46"/>
      <c r="D307" s="16"/>
      <c r="E307" s="16" t="s">
        <v>930</v>
      </c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>
      <c r="A308" s="16"/>
      <c r="B308" s="16"/>
      <c r="C308" s="46"/>
      <c r="D308" s="16"/>
      <c r="E308" s="16" t="s">
        <v>930</v>
      </c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>
      <c r="A309" s="16"/>
      <c r="B309" s="16"/>
      <c r="C309" s="46"/>
      <c r="D309" s="16"/>
      <c r="E309" s="16" t="s">
        <v>930</v>
      </c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>
      <c r="A310" s="16"/>
      <c r="B310" s="16"/>
      <c r="C310" s="46"/>
      <c r="D310" s="16"/>
      <c r="E310" s="16" t="s">
        <v>930</v>
      </c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>
      <c r="A311" s="16"/>
      <c r="B311" s="16"/>
      <c r="C311" s="46"/>
      <c r="D311" s="16"/>
      <c r="E311" s="16" t="s">
        <v>930</v>
      </c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>
      <c r="A312" s="16"/>
      <c r="B312" s="16"/>
      <c r="C312" s="46"/>
      <c r="D312" s="16"/>
      <c r="E312" s="16" t="s">
        <v>930</v>
      </c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>
      <c r="A313" s="16"/>
      <c r="B313" s="16"/>
      <c r="C313" s="46"/>
      <c r="D313" s="16"/>
      <c r="E313" s="16" t="s">
        <v>930</v>
      </c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>
      <c r="A314" s="16"/>
      <c r="B314" s="16"/>
      <c r="C314" s="46"/>
      <c r="D314" s="16"/>
      <c r="E314" s="16" t="s">
        <v>930</v>
      </c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>
      <c r="A315" s="16"/>
      <c r="B315" s="16"/>
      <c r="C315" s="46"/>
      <c r="D315" s="16"/>
      <c r="E315" s="16" t="s">
        <v>930</v>
      </c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>
      <c r="A316" s="16"/>
      <c r="B316" s="16"/>
      <c r="C316" s="46"/>
      <c r="D316" s="16"/>
      <c r="E316" s="16" t="s">
        <v>930</v>
      </c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>
      <c r="A317" s="16"/>
      <c r="B317" s="16"/>
      <c r="C317" s="46"/>
      <c r="D317" s="16"/>
      <c r="E317" s="16" t="s">
        <v>930</v>
      </c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>
      <c r="A318" s="16"/>
      <c r="B318" s="16"/>
      <c r="C318" s="46"/>
      <c r="D318" s="16"/>
      <c r="E318" s="16" t="s">
        <v>930</v>
      </c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>
      <c r="A319" s="16"/>
      <c r="B319" s="16"/>
      <c r="C319" s="46"/>
      <c r="D319" s="16"/>
      <c r="E319" s="16" t="s">
        <v>930</v>
      </c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>
      <c r="A320" s="16"/>
      <c r="B320" s="16"/>
      <c r="C320" s="46"/>
      <c r="D320" s="16"/>
      <c r="E320" s="16" t="s">
        <v>930</v>
      </c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>
      <c r="A321" s="16"/>
      <c r="B321" s="16"/>
      <c r="C321" s="46"/>
      <c r="D321" s="16"/>
      <c r="E321" s="16" t="s">
        <v>930</v>
      </c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>
      <c r="A322" s="16"/>
      <c r="B322" s="16"/>
      <c r="C322" s="46"/>
      <c r="D322" s="16"/>
      <c r="E322" s="16" t="s">
        <v>930</v>
      </c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>
      <c r="A323" s="16"/>
      <c r="B323" s="16"/>
      <c r="C323" s="46"/>
      <c r="D323" s="16"/>
      <c r="E323" s="16" t="s">
        <v>930</v>
      </c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>
      <c r="A324" s="16"/>
      <c r="B324" s="16"/>
      <c r="C324" s="46"/>
      <c r="D324" s="16"/>
      <c r="E324" s="16" t="s">
        <v>930</v>
      </c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>
      <c r="A325" s="16"/>
      <c r="B325" s="16"/>
      <c r="C325" s="46"/>
      <c r="D325" s="16"/>
      <c r="E325" s="16" t="s">
        <v>930</v>
      </c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>
      <c r="A326" s="16"/>
      <c r="B326" s="16"/>
      <c r="C326" s="46"/>
      <c r="D326" s="16"/>
      <c r="E326" s="16" t="s">
        <v>930</v>
      </c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>
      <c r="A327" s="16"/>
      <c r="B327" s="16"/>
      <c r="C327" s="46"/>
      <c r="D327" s="16"/>
      <c r="E327" s="16" t="s">
        <v>930</v>
      </c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>
      <c r="A328" s="16"/>
      <c r="B328" s="16"/>
      <c r="C328" s="46"/>
      <c r="D328" s="16"/>
      <c r="E328" s="16" t="s">
        <v>930</v>
      </c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>
      <c r="A329" s="16"/>
      <c r="B329" s="16"/>
      <c r="C329" s="46"/>
      <c r="D329" s="16"/>
      <c r="E329" s="16" t="s">
        <v>930</v>
      </c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>
      <c r="A330" s="16"/>
      <c r="B330" s="16"/>
      <c r="C330" s="46"/>
      <c r="D330" s="16"/>
      <c r="E330" s="16" t="s">
        <v>930</v>
      </c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>
      <c r="A331" s="16"/>
      <c r="B331" s="16"/>
      <c r="C331" s="46"/>
      <c r="D331" s="16"/>
      <c r="E331" s="16" t="s">
        <v>930</v>
      </c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>
      <c r="A332" s="16"/>
      <c r="B332" s="16"/>
      <c r="C332" s="46"/>
      <c r="D332" s="16"/>
      <c r="E332" s="16" t="s">
        <v>930</v>
      </c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>
      <c r="A333" s="16"/>
      <c r="B333" s="16"/>
      <c r="C333" s="46"/>
      <c r="D333" s="16"/>
      <c r="E333" s="16" t="s">
        <v>930</v>
      </c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>
      <c r="A334" s="16"/>
      <c r="B334" s="16"/>
      <c r="C334" s="46"/>
      <c r="D334" s="16"/>
      <c r="E334" s="16" t="s">
        <v>930</v>
      </c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>
      <c r="A335" s="16"/>
      <c r="B335" s="16"/>
      <c r="C335" s="46"/>
      <c r="D335" s="16"/>
      <c r="E335" s="16" t="s">
        <v>930</v>
      </c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>
      <c r="A336" s="16"/>
      <c r="B336" s="16"/>
      <c r="C336" s="46"/>
      <c r="D336" s="16"/>
      <c r="E336" s="16" t="s">
        <v>930</v>
      </c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>
      <c r="A337" s="16"/>
      <c r="B337" s="16"/>
      <c r="C337" s="46"/>
      <c r="D337" s="16"/>
      <c r="E337" s="16" t="s">
        <v>930</v>
      </c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>
      <c r="A338" s="16"/>
      <c r="B338" s="16"/>
      <c r="C338" s="46"/>
      <c r="D338" s="16"/>
      <c r="E338" s="16" t="s">
        <v>930</v>
      </c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>
      <c r="A339" s="16"/>
      <c r="B339" s="16"/>
      <c r="C339" s="46"/>
      <c r="D339" s="16"/>
      <c r="E339" s="16" t="s">
        <v>930</v>
      </c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>
      <c r="A340" s="16"/>
      <c r="B340" s="16"/>
      <c r="C340" s="46"/>
      <c r="D340" s="16"/>
      <c r="E340" s="16" t="s">
        <v>930</v>
      </c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>
      <c r="A341" s="16"/>
      <c r="B341" s="16"/>
      <c r="C341" s="46"/>
      <c r="D341" s="16"/>
      <c r="E341" s="16" t="s">
        <v>930</v>
      </c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>
      <c r="A342" s="16"/>
      <c r="B342" s="16"/>
      <c r="C342" s="46"/>
      <c r="D342" s="16"/>
      <c r="E342" s="16" t="s">
        <v>930</v>
      </c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>
      <c r="A343" s="16"/>
      <c r="B343" s="16"/>
      <c r="C343" s="46"/>
      <c r="D343" s="16"/>
      <c r="E343" s="16" t="s">
        <v>930</v>
      </c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>
      <c r="A344" s="16"/>
      <c r="B344" s="16"/>
      <c r="C344" s="46"/>
      <c r="D344" s="16"/>
      <c r="E344" s="16" t="s">
        <v>930</v>
      </c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>
      <c r="A345" s="16"/>
      <c r="B345" s="16"/>
      <c r="C345" s="46"/>
      <c r="D345" s="16"/>
      <c r="E345" s="16" t="s">
        <v>930</v>
      </c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>
      <c r="A346" s="16"/>
      <c r="B346" s="16"/>
      <c r="C346" s="46"/>
      <c r="D346" s="16"/>
      <c r="E346" s="16" t="s">
        <v>930</v>
      </c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>
      <c r="A347" s="16"/>
      <c r="B347" s="16"/>
      <c r="C347" s="46"/>
      <c r="D347" s="16"/>
      <c r="E347" s="16" t="s">
        <v>930</v>
      </c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>
      <c r="A348" s="16"/>
      <c r="B348" s="16"/>
      <c r="C348" s="46"/>
      <c r="D348" s="16"/>
      <c r="E348" s="16" t="s">
        <v>930</v>
      </c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>
      <c r="A349" s="16"/>
      <c r="B349" s="16"/>
      <c r="C349" s="46"/>
      <c r="D349" s="16"/>
      <c r="E349" s="16" t="s">
        <v>930</v>
      </c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>
      <c r="A350" s="16"/>
      <c r="B350" s="16"/>
      <c r="C350" s="46"/>
      <c r="D350" s="16"/>
      <c r="E350" s="16" t="s">
        <v>930</v>
      </c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>
      <c r="A351" s="16"/>
      <c r="B351" s="16"/>
      <c r="C351" s="46"/>
      <c r="D351" s="16"/>
      <c r="E351" s="16" t="s">
        <v>930</v>
      </c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>
      <c r="A352" s="16"/>
      <c r="B352" s="16"/>
      <c r="C352" s="46"/>
      <c r="D352" s="16"/>
      <c r="E352" s="16" t="s">
        <v>930</v>
      </c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>
      <c r="A353" s="16"/>
      <c r="B353" s="16"/>
      <c r="C353" s="46"/>
      <c r="D353" s="16"/>
      <c r="E353" s="16" t="s">
        <v>930</v>
      </c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>
      <c r="A354" s="16"/>
      <c r="B354" s="16"/>
      <c r="C354" s="46"/>
      <c r="D354" s="16"/>
      <c r="E354" s="16" t="s">
        <v>930</v>
      </c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>
      <c r="A355" s="16"/>
      <c r="B355" s="16"/>
      <c r="C355" s="46"/>
      <c r="D355" s="16"/>
      <c r="E355" s="16" t="s">
        <v>930</v>
      </c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>
      <c r="A356" s="16"/>
      <c r="B356" s="16"/>
      <c r="C356" s="46"/>
      <c r="D356" s="16"/>
      <c r="E356" s="16" t="s">
        <v>930</v>
      </c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>
      <c r="A357" s="16"/>
      <c r="B357" s="16"/>
      <c r="C357" s="46"/>
      <c r="D357" s="16"/>
      <c r="E357" s="16" t="s">
        <v>930</v>
      </c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>
      <c r="A358" s="16"/>
      <c r="B358" s="16"/>
      <c r="C358" s="46"/>
      <c r="D358" s="16"/>
      <c r="E358" s="16" t="s">
        <v>930</v>
      </c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>
      <c r="A359" s="16"/>
      <c r="B359" s="16"/>
      <c r="C359" s="46"/>
      <c r="D359" s="16"/>
      <c r="E359" s="16" t="s">
        <v>930</v>
      </c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>
      <c r="A360" s="16"/>
      <c r="B360" s="16"/>
      <c r="C360" s="46"/>
      <c r="D360" s="16"/>
      <c r="E360" s="16" t="s">
        <v>930</v>
      </c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>
      <c r="A361" s="16"/>
      <c r="B361" s="16"/>
      <c r="C361" s="46"/>
      <c r="D361" s="16"/>
      <c r="E361" s="16" t="s">
        <v>930</v>
      </c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>
      <c r="A362" s="16"/>
      <c r="B362" s="16"/>
      <c r="C362" s="46"/>
      <c r="D362" s="16"/>
      <c r="E362" s="16" t="s">
        <v>930</v>
      </c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>
      <c r="A363" s="16"/>
      <c r="B363" s="16"/>
      <c r="C363" s="46"/>
      <c r="D363" s="16"/>
      <c r="E363" s="16" t="s">
        <v>930</v>
      </c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>
      <c r="A364" s="16"/>
      <c r="B364" s="16"/>
      <c r="C364" s="46"/>
      <c r="D364" s="16"/>
      <c r="E364" s="16" t="s">
        <v>930</v>
      </c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>
      <c r="A365" s="16"/>
      <c r="B365" s="16"/>
      <c r="C365" s="46"/>
      <c r="D365" s="16"/>
      <c r="E365" s="16" t="s">
        <v>930</v>
      </c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>
      <c r="A366" s="16"/>
      <c r="B366" s="16"/>
      <c r="C366" s="46"/>
      <c r="D366" s="16"/>
      <c r="E366" s="16" t="s">
        <v>930</v>
      </c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>
      <c r="A367" s="16"/>
      <c r="B367" s="16"/>
      <c r="C367" s="46"/>
      <c r="D367" s="16"/>
      <c r="E367" s="16" t="s">
        <v>930</v>
      </c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>
      <c r="A368" s="16"/>
      <c r="B368" s="16"/>
      <c r="C368" s="46"/>
      <c r="D368" s="16"/>
      <c r="E368" s="16" t="s">
        <v>930</v>
      </c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>
      <c r="A369" s="16"/>
      <c r="B369" s="16"/>
      <c r="C369" s="46"/>
      <c r="D369" s="16"/>
      <c r="E369" s="16" t="s">
        <v>930</v>
      </c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>
      <c r="A370" s="16"/>
      <c r="B370" s="16"/>
      <c r="C370" s="46"/>
      <c r="D370" s="16"/>
      <c r="E370" s="16" t="s">
        <v>930</v>
      </c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>
      <c r="A371" s="16"/>
      <c r="B371" s="16"/>
      <c r="C371" s="46"/>
      <c r="D371" s="16"/>
      <c r="E371" s="16" t="s">
        <v>930</v>
      </c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>
      <c r="A372" s="16"/>
      <c r="B372" s="16"/>
      <c r="C372" s="46"/>
      <c r="D372" s="16"/>
      <c r="E372" s="16" t="s">
        <v>930</v>
      </c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>
      <c r="A373" s="16"/>
      <c r="B373" s="16"/>
      <c r="C373" s="46"/>
      <c r="D373" s="16"/>
      <c r="E373" s="16" t="s">
        <v>930</v>
      </c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>
      <c r="A374" s="16"/>
      <c r="B374" s="16"/>
      <c r="C374" s="46"/>
      <c r="D374" s="16"/>
      <c r="E374" s="16" t="s">
        <v>930</v>
      </c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>
      <c r="A375" s="16"/>
      <c r="B375" s="16"/>
      <c r="C375" s="46"/>
      <c r="D375" s="16"/>
      <c r="E375" s="16" t="s">
        <v>930</v>
      </c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>
      <c r="A376" s="16"/>
      <c r="B376" s="16"/>
      <c r="C376" s="46"/>
      <c r="D376" s="16"/>
      <c r="E376" s="16" t="s">
        <v>930</v>
      </c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>
      <c r="A377" s="16"/>
      <c r="B377" s="16"/>
      <c r="C377" s="46"/>
      <c r="D377" s="16"/>
      <c r="E377" s="16" t="s">
        <v>930</v>
      </c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>
      <c r="A378" s="16"/>
      <c r="B378" s="16"/>
      <c r="C378" s="46"/>
      <c r="D378" s="16"/>
      <c r="E378" s="16" t="s">
        <v>930</v>
      </c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>
      <c r="A379" s="16"/>
      <c r="B379" s="16"/>
      <c r="C379" s="46"/>
      <c r="D379" s="16"/>
      <c r="E379" s="16" t="s">
        <v>930</v>
      </c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>
      <c r="A380" s="16"/>
      <c r="B380" s="16"/>
      <c r="C380" s="46"/>
      <c r="D380" s="16"/>
      <c r="E380" s="16" t="s">
        <v>930</v>
      </c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>
      <c r="A381" s="16"/>
      <c r="B381" s="16"/>
      <c r="C381" s="46"/>
      <c r="D381" s="16"/>
      <c r="E381" s="16" t="s">
        <v>930</v>
      </c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>
      <c r="A382" s="16"/>
      <c r="B382" s="16"/>
      <c r="C382" s="46"/>
      <c r="D382" s="16"/>
      <c r="E382" s="16" t="s">
        <v>930</v>
      </c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>
      <c r="A383" s="16"/>
      <c r="B383" s="16"/>
      <c r="C383" s="46"/>
      <c r="D383" s="16"/>
      <c r="E383" s="16" t="s">
        <v>930</v>
      </c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>
      <c r="A384" s="16"/>
      <c r="B384" s="16"/>
      <c r="C384" s="46"/>
      <c r="D384" s="16"/>
      <c r="E384" s="16" t="s">
        <v>930</v>
      </c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>
      <c r="A385" s="16"/>
      <c r="B385" s="16"/>
      <c r="C385" s="46"/>
      <c r="D385" s="16"/>
      <c r="E385" s="16" t="s">
        <v>930</v>
      </c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>
      <c r="A386" s="16"/>
      <c r="B386" s="16"/>
      <c r="C386" s="46"/>
      <c r="D386" s="16"/>
      <c r="E386" s="16" t="s">
        <v>930</v>
      </c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>
      <c r="A387" s="16"/>
      <c r="B387" s="16"/>
      <c r="C387" s="46"/>
      <c r="D387" s="16"/>
      <c r="E387" s="16" t="s">
        <v>930</v>
      </c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>
      <c r="A388" s="16"/>
      <c r="B388" s="16"/>
      <c r="C388" s="46"/>
      <c r="D388" s="16"/>
      <c r="E388" s="16" t="s">
        <v>930</v>
      </c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>
      <c r="A389" s="16"/>
      <c r="B389" s="16"/>
      <c r="C389" s="46"/>
      <c r="D389" s="16"/>
      <c r="E389" s="16" t="s">
        <v>930</v>
      </c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>
      <c r="A390" s="16"/>
      <c r="B390" s="16"/>
      <c r="C390" s="46"/>
      <c r="D390" s="16"/>
      <c r="E390" s="16" t="s">
        <v>930</v>
      </c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>
      <c r="A391" s="16"/>
      <c r="B391" s="16"/>
      <c r="C391" s="46"/>
      <c r="D391" s="16"/>
      <c r="E391" s="16" t="s">
        <v>930</v>
      </c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>
      <c r="A392" s="16"/>
      <c r="B392" s="16"/>
      <c r="C392" s="46"/>
      <c r="D392" s="16"/>
      <c r="E392" s="16" t="s">
        <v>930</v>
      </c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>
      <c r="A393" s="16"/>
      <c r="B393" s="16"/>
      <c r="C393" s="46"/>
      <c r="D393" s="16"/>
      <c r="E393" s="16" t="s">
        <v>930</v>
      </c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>
      <c r="A394" s="16"/>
      <c r="B394" s="16"/>
      <c r="C394" s="46"/>
      <c r="D394" s="16"/>
      <c r="E394" s="16" t="s">
        <v>930</v>
      </c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>
      <c r="A395" s="16"/>
      <c r="B395" s="16"/>
      <c r="C395" s="46"/>
      <c r="D395" s="16"/>
      <c r="E395" s="16" t="s">
        <v>930</v>
      </c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>
      <c r="A396" s="16"/>
      <c r="B396" s="16"/>
      <c r="C396" s="46"/>
      <c r="D396" s="16"/>
      <c r="E396" s="16" t="s">
        <v>930</v>
      </c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>
      <c r="A397" s="16"/>
      <c r="B397" s="16"/>
      <c r="C397" s="46"/>
      <c r="D397" s="16"/>
      <c r="E397" s="16" t="s">
        <v>930</v>
      </c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>
      <c r="A398" s="16"/>
      <c r="B398" s="16"/>
      <c r="C398" s="46"/>
      <c r="D398" s="16"/>
      <c r="E398" s="16" t="s">
        <v>930</v>
      </c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>
      <c r="A399" s="16"/>
      <c r="B399" s="16"/>
      <c r="C399" s="46"/>
      <c r="D399" s="16"/>
      <c r="E399" s="16" t="s">
        <v>930</v>
      </c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>
      <c r="A400" s="16"/>
      <c r="B400" s="16"/>
      <c r="C400" s="46"/>
      <c r="D400" s="16"/>
      <c r="E400" s="16" t="s">
        <v>930</v>
      </c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>
      <c r="A401" s="16"/>
      <c r="B401" s="16"/>
      <c r="C401" s="46"/>
      <c r="D401" s="16"/>
      <c r="E401" s="16" t="s">
        <v>930</v>
      </c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>
      <c r="A402" s="16"/>
      <c r="B402" s="16"/>
      <c r="C402" s="46"/>
      <c r="D402" s="16"/>
      <c r="E402" s="16" t="s">
        <v>930</v>
      </c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>
      <c r="A403" s="16"/>
      <c r="B403" s="16"/>
      <c r="C403" s="46"/>
      <c r="D403" s="16"/>
      <c r="E403" s="16" t="s">
        <v>930</v>
      </c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>
      <c r="A404" s="16"/>
      <c r="B404" s="16"/>
      <c r="C404" s="46"/>
      <c r="D404" s="16"/>
      <c r="E404" s="16" t="s">
        <v>930</v>
      </c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>
      <c r="A405" s="16"/>
      <c r="B405" s="16"/>
      <c r="C405" s="46"/>
      <c r="D405" s="16"/>
      <c r="E405" s="16" t="s">
        <v>930</v>
      </c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>
      <c r="A406" s="16"/>
      <c r="B406" s="16"/>
      <c r="C406" s="46"/>
      <c r="D406" s="16"/>
      <c r="E406" s="16" t="s">
        <v>930</v>
      </c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>
      <c r="A407" s="16"/>
      <c r="B407" s="16"/>
      <c r="C407" s="46"/>
      <c r="D407" s="16"/>
      <c r="E407" s="16" t="s">
        <v>930</v>
      </c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>
      <c r="A408" s="16"/>
      <c r="B408" s="16"/>
      <c r="C408" s="46"/>
      <c r="D408" s="16"/>
      <c r="E408" s="16" t="s">
        <v>930</v>
      </c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>
      <c r="A409" s="16"/>
      <c r="B409" s="16"/>
      <c r="C409" s="46"/>
      <c r="D409" s="16"/>
      <c r="E409" s="16" t="s">
        <v>930</v>
      </c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>
      <c r="A410" s="16"/>
      <c r="B410" s="16"/>
      <c r="C410" s="46"/>
      <c r="D410" s="16"/>
      <c r="E410" s="16" t="s">
        <v>930</v>
      </c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>
      <c r="A411" s="16"/>
      <c r="B411" s="16"/>
      <c r="C411" s="46"/>
      <c r="D411" s="16"/>
      <c r="E411" s="16" t="s">
        <v>930</v>
      </c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>
      <c r="A412" s="16"/>
      <c r="B412" s="16"/>
      <c r="C412" s="46"/>
      <c r="D412" s="16"/>
      <c r="E412" s="16" t="s">
        <v>930</v>
      </c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>
      <c r="A413" s="16"/>
      <c r="B413" s="16"/>
      <c r="C413" s="46"/>
      <c r="D413" s="16"/>
      <c r="E413" s="16" t="s">
        <v>930</v>
      </c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>
      <c r="A414" s="16"/>
      <c r="B414" s="16"/>
      <c r="C414" s="46"/>
      <c r="D414" s="16"/>
      <c r="E414" s="16" t="s">
        <v>930</v>
      </c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>
      <c r="A415" s="16"/>
      <c r="B415" s="16"/>
      <c r="C415" s="46"/>
      <c r="D415" s="16"/>
      <c r="E415" s="16" t="s">
        <v>930</v>
      </c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>
      <c r="A416" s="16"/>
      <c r="B416" s="16"/>
      <c r="C416" s="46"/>
      <c r="D416" s="16"/>
      <c r="E416" s="16" t="s">
        <v>930</v>
      </c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>
      <c r="A417" s="16"/>
      <c r="B417" s="16"/>
      <c r="C417" s="46"/>
      <c r="D417" s="16"/>
      <c r="E417" s="16" t="s">
        <v>930</v>
      </c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>
      <c r="A418" s="16"/>
      <c r="B418" s="16"/>
      <c r="C418" s="46"/>
      <c r="D418" s="16"/>
      <c r="E418" s="16" t="s">
        <v>930</v>
      </c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>
      <c r="A419" s="16"/>
      <c r="B419" s="16"/>
      <c r="C419" s="46"/>
      <c r="D419" s="16"/>
      <c r="E419" s="16" t="s">
        <v>930</v>
      </c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>
      <c r="A420" s="16"/>
      <c r="B420" s="16"/>
      <c r="C420" s="46"/>
      <c r="D420" s="16"/>
      <c r="E420" s="16" t="s">
        <v>930</v>
      </c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>
      <c r="A421" s="16"/>
      <c r="B421" s="16"/>
      <c r="C421" s="46"/>
      <c r="D421" s="16"/>
      <c r="E421" s="16" t="s">
        <v>930</v>
      </c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>
      <c r="A422" s="16"/>
      <c r="B422" s="16"/>
      <c r="C422" s="46"/>
      <c r="D422" s="16"/>
      <c r="E422" s="16" t="s">
        <v>930</v>
      </c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>
      <c r="A423" s="16"/>
      <c r="B423" s="16"/>
      <c r="C423" s="46"/>
      <c r="D423" s="16"/>
      <c r="E423" s="16" t="s">
        <v>930</v>
      </c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>
      <c r="A424" s="16"/>
      <c r="B424" s="16"/>
      <c r="C424" s="46"/>
      <c r="D424" s="16"/>
      <c r="E424" s="16" t="s">
        <v>930</v>
      </c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>
      <c r="A425" s="16"/>
      <c r="B425" s="16"/>
      <c r="C425" s="46"/>
      <c r="D425" s="16"/>
      <c r="E425" s="16" t="s">
        <v>930</v>
      </c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>
      <c r="A426" s="16"/>
      <c r="B426" s="16"/>
      <c r="C426" s="46"/>
      <c r="D426" s="16"/>
      <c r="E426" s="16" t="s">
        <v>930</v>
      </c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>
      <c r="A427" s="16"/>
      <c r="B427" s="16"/>
      <c r="C427" s="46"/>
      <c r="D427" s="16"/>
      <c r="E427" s="16" t="s">
        <v>930</v>
      </c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>
      <c r="A428" s="16"/>
      <c r="B428" s="16"/>
      <c r="C428" s="46"/>
      <c r="D428" s="16"/>
      <c r="E428" s="16" t="s">
        <v>930</v>
      </c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>
      <c r="A429" s="16"/>
      <c r="B429" s="16"/>
      <c r="C429" s="46"/>
      <c r="D429" s="16"/>
      <c r="E429" s="16" t="s">
        <v>930</v>
      </c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>
      <c r="A430" s="16"/>
      <c r="B430" s="16"/>
      <c r="C430" s="46"/>
      <c r="D430" s="16"/>
      <c r="E430" s="16" t="s">
        <v>930</v>
      </c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>
      <c r="A431" s="16"/>
      <c r="B431" s="16"/>
      <c r="C431" s="46"/>
      <c r="D431" s="16"/>
      <c r="E431" s="16" t="s">
        <v>930</v>
      </c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>
      <c r="A432" s="16"/>
      <c r="B432" s="16"/>
      <c r="C432" s="46"/>
      <c r="D432" s="16"/>
      <c r="E432" s="16" t="s">
        <v>930</v>
      </c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>
      <c r="A433" s="16"/>
      <c r="B433" s="16"/>
      <c r="C433" s="46"/>
      <c r="D433" s="16"/>
      <c r="E433" s="16" t="s">
        <v>930</v>
      </c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>
      <c r="A434" s="16"/>
      <c r="B434" s="16"/>
      <c r="C434" s="46"/>
      <c r="D434" s="16"/>
      <c r="E434" s="16" t="s">
        <v>930</v>
      </c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>
      <c r="A435" s="16"/>
      <c r="B435" s="16"/>
      <c r="C435" s="46"/>
      <c r="D435" s="16"/>
      <c r="E435" s="16" t="s">
        <v>930</v>
      </c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>
      <c r="A436" s="16"/>
      <c r="B436" s="16"/>
      <c r="C436" s="46"/>
      <c r="D436" s="16"/>
      <c r="E436" s="16" t="s">
        <v>930</v>
      </c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>
      <c r="A437" s="16"/>
      <c r="B437" s="16"/>
      <c r="C437" s="46"/>
      <c r="D437" s="16"/>
      <c r="E437" s="16" t="s">
        <v>930</v>
      </c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>
      <c r="A438" s="16"/>
      <c r="B438" s="16"/>
      <c r="C438" s="46"/>
      <c r="D438" s="16"/>
      <c r="E438" s="16" t="s">
        <v>930</v>
      </c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>
      <c r="A439" s="16"/>
      <c r="B439" s="16"/>
      <c r="C439" s="46"/>
      <c r="D439" s="16"/>
      <c r="E439" s="16" t="s">
        <v>930</v>
      </c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>
      <c r="A440" s="16"/>
      <c r="B440" s="16"/>
      <c r="C440" s="46"/>
      <c r="D440" s="16"/>
      <c r="E440" s="16" t="s">
        <v>930</v>
      </c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>
      <c r="A441" s="16"/>
      <c r="B441" s="16"/>
      <c r="C441" s="46"/>
      <c r="D441" s="16"/>
      <c r="E441" s="16" t="s">
        <v>930</v>
      </c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>
      <c r="A442" s="16"/>
      <c r="B442" s="16"/>
      <c r="C442" s="46"/>
      <c r="D442" s="16"/>
      <c r="E442" s="16" t="s">
        <v>930</v>
      </c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>
      <c r="A443" s="16"/>
      <c r="B443" s="16"/>
      <c r="C443" s="46"/>
      <c r="D443" s="16"/>
      <c r="E443" s="16" t="s">
        <v>930</v>
      </c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>
      <c r="A444" s="16"/>
      <c r="B444" s="16"/>
      <c r="C444" s="46"/>
      <c r="D444" s="16"/>
      <c r="E444" s="16" t="s">
        <v>930</v>
      </c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>
      <c r="A445" s="16"/>
      <c r="B445" s="16"/>
      <c r="C445" s="46"/>
      <c r="D445" s="16"/>
      <c r="E445" s="16" t="s">
        <v>930</v>
      </c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>
      <c r="A446" s="16"/>
      <c r="B446" s="16"/>
      <c r="C446" s="46"/>
      <c r="D446" s="16"/>
      <c r="E446" s="16" t="s">
        <v>930</v>
      </c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>
      <c r="A447" s="16"/>
      <c r="B447" s="16"/>
      <c r="C447" s="46"/>
      <c r="D447" s="16"/>
      <c r="E447" s="16" t="s">
        <v>930</v>
      </c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>
      <c r="A448" s="16"/>
      <c r="B448" s="16"/>
      <c r="C448" s="46"/>
      <c r="D448" s="16"/>
      <c r="E448" s="16" t="s">
        <v>930</v>
      </c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>
      <c r="A449" s="16"/>
      <c r="B449" s="16"/>
      <c r="C449" s="46"/>
      <c r="D449" s="16"/>
      <c r="E449" s="16" t="s">
        <v>930</v>
      </c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>
      <c r="A450" s="16"/>
      <c r="B450" s="16"/>
      <c r="C450" s="46"/>
      <c r="D450" s="16"/>
      <c r="E450" s="16" t="s">
        <v>930</v>
      </c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>
      <c r="A451" s="16"/>
      <c r="B451" s="16"/>
      <c r="C451" s="46"/>
      <c r="D451" s="16"/>
      <c r="E451" s="16" t="s">
        <v>930</v>
      </c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>
      <c r="A452" s="16"/>
      <c r="B452" s="16"/>
      <c r="C452" s="46"/>
      <c r="D452" s="16"/>
      <c r="E452" s="16" t="s">
        <v>930</v>
      </c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>
      <c r="A453" s="16"/>
      <c r="B453" s="16"/>
      <c r="C453" s="46"/>
      <c r="D453" s="16"/>
      <c r="E453" s="16" t="s">
        <v>930</v>
      </c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>
      <c r="A454" s="16"/>
      <c r="B454" s="16"/>
      <c r="C454" s="46"/>
      <c r="D454" s="16"/>
      <c r="E454" s="16" t="s">
        <v>930</v>
      </c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>
      <c r="A455" s="16"/>
      <c r="B455" s="16"/>
      <c r="C455" s="46"/>
      <c r="D455" s="16"/>
      <c r="E455" s="16" t="s">
        <v>930</v>
      </c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>
      <c r="A456" s="16"/>
      <c r="B456" s="16"/>
      <c r="C456" s="46"/>
      <c r="D456" s="16"/>
      <c r="E456" s="16" t="s">
        <v>930</v>
      </c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>
      <c r="A457" s="16"/>
      <c r="B457" s="16"/>
      <c r="C457" s="46"/>
      <c r="D457" s="16"/>
      <c r="E457" s="16" t="s">
        <v>930</v>
      </c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>
      <c r="A458" s="16"/>
      <c r="B458" s="16"/>
      <c r="C458" s="46"/>
      <c r="D458" s="16"/>
      <c r="E458" s="16" t="s">
        <v>930</v>
      </c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>
      <c r="A459" s="16"/>
      <c r="B459" s="16"/>
      <c r="C459" s="46"/>
      <c r="D459" s="16"/>
      <c r="E459" s="16" t="s">
        <v>930</v>
      </c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>
      <c r="A460" s="16"/>
      <c r="B460" s="16"/>
      <c r="C460" s="46"/>
      <c r="D460" s="16"/>
      <c r="E460" s="16" t="s">
        <v>930</v>
      </c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>
      <c r="A461" s="16"/>
      <c r="B461" s="16"/>
      <c r="C461" s="46"/>
      <c r="D461" s="16"/>
      <c r="E461" s="16" t="s">
        <v>930</v>
      </c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>
      <c r="A462" s="16"/>
      <c r="B462" s="16"/>
      <c r="C462" s="46"/>
      <c r="D462" s="16"/>
      <c r="E462" s="16" t="s">
        <v>930</v>
      </c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>
      <c r="A463" s="16"/>
      <c r="B463" s="16"/>
      <c r="C463" s="46"/>
      <c r="D463" s="16"/>
      <c r="E463" s="16" t="s">
        <v>930</v>
      </c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>
      <c r="A464" s="16"/>
      <c r="B464" s="16"/>
      <c r="C464" s="46"/>
      <c r="D464" s="16"/>
      <c r="E464" s="16" t="s">
        <v>930</v>
      </c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>
      <c r="A465" s="16"/>
      <c r="B465" s="16"/>
      <c r="C465" s="46"/>
      <c r="D465" s="16"/>
      <c r="E465" s="16" t="s">
        <v>930</v>
      </c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>
      <c r="A466" s="16"/>
      <c r="B466" s="16"/>
      <c r="C466" s="46"/>
      <c r="D466" s="16"/>
      <c r="E466" s="16" t="s">
        <v>930</v>
      </c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>
      <c r="A467" s="16"/>
      <c r="B467" s="16"/>
      <c r="C467" s="46"/>
      <c r="D467" s="16"/>
      <c r="E467" s="16" t="s">
        <v>930</v>
      </c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>
      <c r="A468" s="16"/>
      <c r="B468" s="16"/>
      <c r="C468" s="46"/>
      <c r="D468" s="16"/>
      <c r="E468" s="16" t="s">
        <v>930</v>
      </c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>
      <c r="A469" s="16"/>
      <c r="B469" s="16"/>
      <c r="C469" s="46"/>
      <c r="D469" s="16"/>
      <c r="E469" s="16" t="s">
        <v>930</v>
      </c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>
      <c r="A470" s="16"/>
      <c r="B470" s="16"/>
      <c r="C470" s="46"/>
      <c r="D470" s="16"/>
      <c r="E470" s="16" t="s">
        <v>930</v>
      </c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>
      <c r="A471" s="16"/>
      <c r="B471" s="16"/>
      <c r="C471" s="46"/>
      <c r="D471" s="16"/>
      <c r="E471" s="16" t="s">
        <v>930</v>
      </c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>
      <c r="A472" s="16"/>
      <c r="B472" s="16"/>
      <c r="C472" s="46"/>
      <c r="D472" s="16"/>
      <c r="E472" s="16" t="s">
        <v>930</v>
      </c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>
      <c r="A473" s="16"/>
      <c r="B473" s="16"/>
      <c r="C473" s="46"/>
      <c r="D473" s="16"/>
      <c r="E473" s="16" t="s">
        <v>930</v>
      </c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>
      <c r="A474" s="16"/>
      <c r="B474" s="16"/>
      <c r="C474" s="46"/>
      <c r="D474" s="16"/>
      <c r="E474" s="16" t="s">
        <v>930</v>
      </c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>
      <c r="A475" s="16"/>
      <c r="B475" s="16"/>
      <c r="C475" s="46"/>
      <c r="D475" s="16"/>
      <c r="E475" s="16" t="s">
        <v>930</v>
      </c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>
      <c r="A476" s="16"/>
      <c r="B476" s="16"/>
      <c r="C476" s="46"/>
      <c r="D476" s="16"/>
      <c r="E476" s="16" t="s">
        <v>930</v>
      </c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>
      <c r="A477" s="16"/>
      <c r="B477" s="16"/>
      <c r="C477" s="46"/>
      <c r="D477" s="16"/>
      <c r="E477" s="16" t="s">
        <v>930</v>
      </c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>
      <c r="A478" s="16"/>
      <c r="B478" s="16"/>
      <c r="C478" s="46"/>
      <c r="D478" s="16"/>
      <c r="E478" s="16" t="s">
        <v>930</v>
      </c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>
      <c r="A479" s="16"/>
      <c r="B479" s="16"/>
      <c r="C479" s="46"/>
      <c r="D479" s="16"/>
      <c r="E479" s="16" t="s">
        <v>930</v>
      </c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>
      <c r="A480" s="16"/>
      <c r="B480" s="16"/>
      <c r="C480" s="46"/>
      <c r="D480" s="16"/>
      <c r="E480" s="16" t="s">
        <v>930</v>
      </c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>
      <c r="A481" s="16"/>
      <c r="B481" s="16"/>
      <c r="C481" s="46"/>
      <c r="D481" s="16"/>
      <c r="E481" s="16" t="s">
        <v>930</v>
      </c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>
      <c r="A482" s="16"/>
      <c r="B482" s="16"/>
      <c r="C482" s="46"/>
      <c r="D482" s="16"/>
      <c r="E482" s="16" t="s">
        <v>930</v>
      </c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>
      <c r="A483" s="16"/>
      <c r="B483" s="16"/>
      <c r="C483" s="46"/>
      <c r="D483" s="16"/>
      <c r="E483" s="16" t="s">
        <v>930</v>
      </c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>
      <c r="A484" s="16"/>
      <c r="B484" s="16"/>
      <c r="C484" s="46"/>
      <c r="D484" s="16"/>
      <c r="E484" s="16" t="s">
        <v>930</v>
      </c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>
      <c r="A485" s="16"/>
      <c r="B485" s="16"/>
      <c r="C485" s="46"/>
      <c r="D485" s="16"/>
      <c r="E485" s="16" t="s">
        <v>930</v>
      </c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>
      <c r="A486" s="16"/>
      <c r="B486" s="16"/>
      <c r="C486" s="46"/>
      <c r="D486" s="16"/>
      <c r="E486" s="16" t="s">
        <v>930</v>
      </c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>
      <c r="A487" s="16"/>
      <c r="B487" s="16"/>
      <c r="C487" s="46"/>
      <c r="D487" s="16"/>
      <c r="E487" s="16" t="s">
        <v>930</v>
      </c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>
      <c r="A488" s="16"/>
      <c r="B488" s="16"/>
      <c r="C488" s="46"/>
      <c r="D488" s="16"/>
      <c r="E488" s="16" t="s">
        <v>930</v>
      </c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>
      <c r="A489" s="16"/>
      <c r="B489" s="16"/>
      <c r="C489" s="46"/>
      <c r="D489" s="16"/>
      <c r="E489" s="16" t="s">
        <v>930</v>
      </c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>
      <c r="A490" s="16"/>
      <c r="B490" s="16"/>
      <c r="C490" s="46"/>
      <c r="D490" s="16"/>
      <c r="E490" s="16" t="s">
        <v>930</v>
      </c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>
      <c r="A491" s="16"/>
      <c r="B491" s="16"/>
      <c r="C491" s="46"/>
      <c r="D491" s="16"/>
      <c r="E491" s="16" t="s">
        <v>930</v>
      </c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>
      <c r="A492" s="16"/>
      <c r="B492" s="16"/>
      <c r="C492" s="46"/>
      <c r="D492" s="16"/>
      <c r="E492" s="16" t="s">
        <v>930</v>
      </c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>
      <c r="A493" s="16"/>
      <c r="B493" s="16"/>
      <c r="C493" s="46"/>
      <c r="D493" s="16"/>
      <c r="E493" s="16" t="s">
        <v>930</v>
      </c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>
      <c r="A494" s="16"/>
      <c r="B494" s="16"/>
      <c r="C494" s="46"/>
      <c r="D494" s="16"/>
      <c r="E494" s="16" t="s">
        <v>930</v>
      </c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>
      <c r="A495" s="16"/>
      <c r="B495" s="16"/>
      <c r="C495" s="46"/>
      <c r="D495" s="16"/>
      <c r="E495" s="16" t="s">
        <v>930</v>
      </c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>
      <c r="A496" s="16"/>
      <c r="B496" s="16"/>
      <c r="C496" s="46"/>
      <c r="D496" s="16"/>
      <c r="E496" s="16" t="s">
        <v>930</v>
      </c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>
      <c r="A497" s="16"/>
      <c r="B497" s="16"/>
      <c r="C497" s="46"/>
      <c r="D497" s="16"/>
      <c r="E497" s="16" t="s">
        <v>930</v>
      </c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>
      <c r="A498" s="16"/>
      <c r="B498" s="16"/>
      <c r="C498" s="46"/>
      <c r="D498" s="16"/>
      <c r="E498" s="16" t="s">
        <v>930</v>
      </c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>
      <c r="A499" s="16"/>
      <c r="B499" s="16"/>
      <c r="C499" s="46"/>
      <c r="D499" s="16"/>
      <c r="E499" s="16" t="s">
        <v>930</v>
      </c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>
      <c r="A500" s="16"/>
      <c r="B500" s="16"/>
      <c r="C500" s="46"/>
      <c r="D500" s="16"/>
      <c r="E500" s="16" t="s">
        <v>930</v>
      </c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>
      <c r="A501" s="16"/>
      <c r="B501" s="16"/>
      <c r="C501" s="46"/>
      <c r="D501" s="16"/>
      <c r="E501" s="16" t="s">
        <v>930</v>
      </c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>
      <c r="A502" s="16"/>
      <c r="B502" s="16"/>
      <c r="C502" s="46"/>
      <c r="D502" s="16"/>
      <c r="E502" s="16" t="s">
        <v>930</v>
      </c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>
      <c r="A503" s="16"/>
      <c r="B503" s="16"/>
      <c r="C503" s="46"/>
      <c r="D503" s="16"/>
      <c r="E503" s="16" t="s">
        <v>930</v>
      </c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>
      <c r="A504" s="16"/>
      <c r="B504" s="16"/>
      <c r="C504" s="46"/>
      <c r="D504" s="16"/>
      <c r="E504" s="16" t="s">
        <v>930</v>
      </c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>
      <c r="A505" s="16"/>
      <c r="B505" s="16"/>
      <c r="C505" s="46"/>
      <c r="D505" s="16"/>
      <c r="E505" s="16" t="s">
        <v>930</v>
      </c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>
      <c r="A506" s="16"/>
      <c r="B506" s="16"/>
      <c r="C506" s="46"/>
      <c r="D506" s="16"/>
      <c r="E506" s="16" t="s">
        <v>930</v>
      </c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>
      <c r="A507" s="16"/>
      <c r="B507" s="16"/>
      <c r="C507" s="46"/>
      <c r="D507" s="16"/>
      <c r="E507" s="16" t="s">
        <v>930</v>
      </c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>
      <c r="A508" s="16"/>
      <c r="B508" s="16"/>
      <c r="C508" s="46"/>
      <c r="D508" s="16"/>
      <c r="E508" s="16" t="s">
        <v>930</v>
      </c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>
      <c r="A509" s="16"/>
      <c r="B509" s="16"/>
      <c r="C509" s="46"/>
      <c r="D509" s="16"/>
      <c r="E509" s="16" t="s">
        <v>930</v>
      </c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>
      <c r="A510" s="16"/>
      <c r="B510" s="16"/>
      <c r="C510" s="46"/>
      <c r="D510" s="16"/>
      <c r="E510" s="16" t="s">
        <v>930</v>
      </c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>
      <c r="A511" s="16"/>
      <c r="B511" s="16"/>
      <c r="C511" s="46"/>
      <c r="D511" s="16"/>
      <c r="E511" s="16" t="s">
        <v>930</v>
      </c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>
      <c r="A512" s="16"/>
      <c r="B512" s="16"/>
      <c r="C512" s="46"/>
      <c r="D512" s="16"/>
      <c r="E512" s="16" t="s">
        <v>930</v>
      </c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>
      <c r="A513" s="16"/>
      <c r="B513" s="16"/>
      <c r="C513" s="46"/>
      <c r="D513" s="16"/>
      <c r="E513" s="16" t="s">
        <v>930</v>
      </c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>
      <c r="A514" s="16"/>
      <c r="B514" s="16"/>
      <c r="C514" s="46"/>
      <c r="D514" s="16"/>
      <c r="E514" s="16" t="s">
        <v>930</v>
      </c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>
      <c r="A515" s="16"/>
      <c r="B515" s="16"/>
      <c r="C515" s="46"/>
      <c r="D515" s="16"/>
      <c r="E515" s="16" t="s">
        <v>930</v>
      </c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>
      <c r="A516" s="16"/>
      <c r="B516" s="16"/>
      <c r="C516" s="46"/>
      <c r="D516" s="16"/>
      <c r="E516" s="16" t="s">
        <v>930</v>
      </c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>
      <c r="A517" s="16"/>
      <c r="B517" s="16"/>
      <c r="C517" s="46"/>
      <c r="D517" s="16"/>
      <c r="E517" s="16" t="s">
        <v>930</v>
      </c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>
      <c r="A518" s="16"/>
      <c r="B518" s="16"/>
      <c r="C518" s="46"/>
      <c r="D518" s="16"/>
      <c r="E518" s="16" t="s">
        <v>930</v>
      </c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>
      <c r="A519" s="16"/>
      <c r="B519" s="16"/>
      <c r="C519" s="46"/>
      <c r="D519" s="16"/>
      <c r="E519" s="16" t="s">
        <v>930</v>
      </c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>
      <c r="A520" s="16"/>
      <c r="B520" s="16"/>
      <c r="C520" s="46"/>
      <c r="D520" s="16"/>
      <c r="E520" s="16" t="s">
        <v>930</v>
      </c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>
      <c r="A521" s="16"/>
      <c r="B521" s="16"/>
      <c r="C521" s="46"/>
      <c r="D521" s="16"/>
      <c r="E521" s="16" t="s">
        <v>930</v>
      </c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>
      <c r="A522" s="16"/>
      <c r="B522" s="16"/>
      <c r="C522" s="46"/>
      <c r="D522" s="16"/>
      <c r="E522" s="16" t="s">
        <v>930</v>
      </c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>
      <c r="A523" s="16"/>
      <c r="B523" s="16"/>
      <c r="C523" s="46"/>
      <c r="D523" s="16"/>
      <c r="E523" s="16" t="s">
        <v>930</v>
      </c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>
      <c r="A524" s="16"/>
      <c r="B524" s="16"/>
      <c r="C524" s="46"/>
      <c r="D524" s="16"/>
      <c r="E524" s="16" t="s">
        <v>930</v>
      </c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>
      <c r="A525" s="16"/>
      <c r="B525" s="16"/>
      <c r="C525" s="46"/>
      <c r="D525" s="16"/>
      <c r="E525" s="16" t="s">
        <v>930</v>
      </c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>
      <c r="A526" s="16"/>
      <c r="B526" s="16"/>
      <c r="C526" s="46"/>
      <c r="D526" s="16"/>
      <c r="E526" s="16" t="s">
        <v>930</v>
      </c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>
      <c r="A527" s="16"/>
      <c r="B527" s="16"/>
      <c r="C527" s="46"/>
      <c r="D527" s="16"/>
      <c r="E527" s="16" t="s">
        <v>930</v>
      </c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>
      <c r="A528" s="16"/>
      <c r="B528" s="16"/>
      <c r="C528" s="46"/>
      <c r="D528" s="16"/>
      <c r="E528" s="16" t="s">
        <v>930</v>
      </c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>
      <c r="A529" s="16"/>
      <c r="B529" s="16"/>
      <c r="C529" s="46"/>
      <c r="D529" s="16"/>
      <c r="E529" s="16" t="s">
        <v>930</v>
      </c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>
      <c r="A530" s="16"/>
      <c r="B530" s="16"/>
      <c r="C530" s="46"/>
      <c r="D530" s="16"/>
      <c r="E530" s="16" t="s">
        <v>930</v>
      </c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>
      <c r="A531" s="16"/>
      <c r="B531" s="16"/>
      <c r="C531" s="46"/>
      <c r="D531" s="16"/>
      <c r="E531" s="16" t="s">
        <v>930</v>
      </c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>
      <c r="A532" s="16"/>
      <c r="B532" s="16"/>
      <c r="C532" s="46"/>
      <c r="D532" s="16"/>
      <c r="E532" s="16" t="s">
        <v>930</v>
      </c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>
      <c r="A533" s="16"/>
      <c r="B533" s="16"/>
      <c r="C533" s="46"/>
      <c r="D533" s="16"/>
      <c r="E533" s="16" t="s">
        <v>930</v>
      </c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>
      <c r="A534" s="16"/>
      <c r="B534" s="16"/>
      <c r="C534" s="46"/>
      <c r="D534" s="16"/>
      <c r="E534" s="16" t="s">
        <v>930</v>
      </c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>
      <c r="A535" s="16"/>
      <c r="B535" s="16"/>
      <c r="C535" s="46"/>
      <c r="D535" s="16"/>
      <c r="E535" s="16" t="s">
        <v>930</v>
      </c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>
      <c r="A536" s="16"/>
      <c r="B536" s="16"/>
      <c r="C536" s="46"/>
      <c r="D536" s="16"/>
      <c r="E536" s="16" t="s">
        <v>930</v>
      </c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>
      <c r="A537" s="16"/>
      <c r="B537" s="16"/>
      <c r="C537" s="46"/>
      <c r="D537" s="16"/>
      <c r="E537" s="16" t="s">
        <v>930</v>
      </c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>
      <c r="A538" s="16"/>
      <c r="B538" s="16"/>
      <c r="C538" s="46"/>
      <c r="D538" s="16"/>
      <c r="E538" s="16" t="s">
        <v>930</v>
      </c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>
      <c r="A539" s="16"/>
      <c r="B539" s="16"/>
      <c r="C539" s="46"/>
      <c r="D539" s="16"/>
      <c r="E539" s="16" t="s">
        <v>930</v>
      </c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>
      <c r="A540" s="16"/>
      <c r="B540" s="16"/>
      <c r="C540" s="46"/>
      <c r="D540" s="16"/>
      <c r="E540" s="16" t="s">
        <v>930</v>
      </c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>
      <c r="A541" s="16"/>
      <c r="B541" s="16"/>
      <c r="C541" s="46"/>
      <c r="D541" s="16"/>
      <c r="E541" s="16" t="s">
        <v>930</v>
      </c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>
      <c r="A542" s="16"/>
      <c r="B542" s="16"/>
      <c r="C542" s="46"/>
      <c r="D542" s="16"/>
      <c r="E542" s="16" t="s">
        <v>930</v>
      </c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>
      <c r="A543" s="16"/>
      <c r="B543" s="16"/>
      <c r="C543" s="46"/>
      <c r="D543" s="16"/>
      <c r="E543" s="16" t="s">
        <v>930</v>
      </c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>
      <c r="A544" s="16"/>
      <c r="B544" s="16"/>
      <c r="C544" s="46"/>
      <c r="D544" s="16"/>
      <c r="E544" s="16" t="s">
        <v>930</v>
      </c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>
      <c r="A545" s="16"/>
      <c r="B545" s="16"/>
      <c r="C545" s="46"/>
      <c r="D545" s="16"/>
      <c r="E545" s="16" t="s">
        <v>930</v>
      </c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>
      <c r="A546" s="16"/>
      <c r="B546" s="16"/>
      <c r="C546" s="46"/>
      <c r="D546" s="16"/>
      <c r="E546" s="16" t="s">
        <v>930</v>
      </c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>
      <c r="A547" s="16"/>
      <c r="B547" s="16"/>
      <c r="C547" s="46"/>
      <c r="D547" s="16"/>
      <c r="E547" s="16" t="s">
        <v>930</v>
      </c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>
      <c r="A548" s="16"/>
      <c r="B548" s="16"/>
      <c r="C548" s="46"/>
      <c r="D548" s="16"/>
      <c r="E548" s="16" t="s">
        <v>930</v>
      </c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>
      <c r="A549" s="16"/>
      <c r="B549" s="16"/>
      <c r="C549" s="46"/>
      <c r="D549" s="16"/>
      <c r="E549" s="16" t="s">
        <v>930</v>
      </c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>
      <c r="A550" s="16"/>
      <c r="B550" s="16"/>
      <c r="C550" s="46"/>
      <c r="D550" s="16"/>
      <c r="E550" s="16" t="s">
        <v>930</v>
      </c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>
      <c r="A551" s="16"/>
      <c r="B551" s="16"/>
      <c r="C551" s="46"/>
      <c r="D551" s="16"/>
      <c r="E551" s="16" t="s">
        <v>930</v>
      </c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>
      <c r="A552" s="16"/>
      <c r="B552" s="16"/>
      <c r="C552" s="46"/>
      <c r="D552" s="16"/>
      <c r="E552" s="16" t="s">
        <v>930</v>
      </c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>
      <c r="A553" s="16"/>
      <c r="B553" s="16"/>
      <c r="C553" s="46"/>
      <c r="D553" s="16"/>
      <c r="E553" s="16" t="s">
        <v>930</v>
      </c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>
      <c r="A554" s="16"/>
      <c r="B554" s="16"/>
      <c r="C554" s="46"/>
      <c r="D554" s="16"/>
      <c r="E554" s="16" t="s">
        <v>930</v>
      </c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>
      <c r="A555" s="16"/>
      <c r="B555" s="16"/>
      <c r="C555" s="46"/>
      <c r="D555" s="16"/>
      <c r="E555" s="16" t="s">
        <v>930</v>
      </c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>
      <c r="A556" s="16"/>
      <c r="B556" s="16"/>
      <c r="C556" s="46"/>
      <c r="D556" s="16"/>
      <c r="E556" s="16" t="s">
        <v>930</v>
      </c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>
      <c r="A557" s="16"/>
      <c r="B557" s="16"/>
      <c r="C557" s="46"/>
      <c r="D557" s="16"/>
      <c r="E557" s="16" t="s">
        <v>930</v>
      </c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>
      <c r="A558" s="16"/>
      <c r="B558" s="16"/>
      <c r="C558" s="46"/>
      <c r="D558" s="16"/>
      <c r="E558" s="16" t="s">
        <v>930</v>
      </c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>
      <c r="A559" s="16"/>
      <c r="B559" s="16"/>
      <c r="C559" s="46"/>
      <c r="D559" s="16"/>
      <c r="E559" s="16" t="s">
        <v>930</v>
      </c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>
      <c r="A560" s="16"/>
      <c r="B560" s="16"/>
      <c r="C560" s="46"/>
      <c r="D560" s="16"/>
      <c r="E560" s="16" t="s">
        <v>930</v>
      </c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>
      <c r="A561" s="16"/>
      <c r="B561" s="16"/>
      <c r="C561" s="46"/>
      <c r="D561" s="16"/>
      <c r="E561" s="16" t="s">
        <v>930</v>
      </c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>
      <c r="A562" s="16"/>
      <c r="B562" s="16"/>
      <c r="C562" s="46"/>
      <c r="D562" s="16"/>
      <c r="E562" s="16" t="s">
        <v>930</v>
      </c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>
      <c r="A563" s="16"/>
      <c r="B563" s="16"/>
      <c r="C563" s="46"/>
      <c r="D563" s="16"/>
      <c r="E563" s="16" t="s">
        <v>930</v>
      </c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>
      <c r="A564" s="16"/>
      <c r="B564" s="16"/>
      <c r="C564" s="46"/>
      <c r="D564" s="16"/>
      <c r="E564" s="16" t="s">
        <v>930</v>
      </c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>
      <c r="A565" s="16"/>
      <c r="B565" s="16"/>
      <c r="C565" s="46"/>
      <c r="D565" s="16"/>
      <c r="E565" s="16" t="s">
        <v>930</v>
      </c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>
      <c r="A566" s="16"/>
      <c r="B566" s="16"/>
      <c r="C566" s="46"/>
      <c r="D566" s="16"/>
      <c r="E566" s="16" t="s">
        <v>930</v>
      </c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>
      <c r="A567" s="16"/>
      <c r="B567" s="16"/>
      <c r="C567" s="46"/>
      <c r="D567" s="16"/>
      <c r="E567" s="16" t="s">
        <v>930</v>
      </c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>
      <c r="A568" s="16"/>
      <c r="B568" s="16"/>
      <c r="C568" s="46"/>
      <c r="D568" s="16"/>
      <c r="E568" s="16" t="s">
        <v>930</v>
      </c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>
      <c r="A569" s="16"/>
      <c r="B569" s="16"/>
      <c r="C569" s="46"/>
      <c r="D569" s="16"/>
      <c r="E569" s="16" t="s">
        <v>930</v>
      </c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>
      <c r="A570" s="16"/>
      <c r="B570" s="16"/>
      <c r="C570" s="46"/>
      <c r="D570" s="16"/>
      <c r="E570" s="16" t="s">
        <v>930</v>
      </c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>
      <c r="A571" s="16"/>
      <c r="B571" s="16"/>
      <c r="C571" s="46"/>
      <c r="D571" s="16"/>
      <c r="E571" s="16" t="s">
        <v>930</v>
      </c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>
      <c r="A572" s="16"/>
      <c r="B572" s="16"/>
      <c r="C572" s="46"/>
      <c r="D572" s="16"/>
      <c r="E572" s="16" t="s">
        <v>930</v>
      </c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>
      <c r="A573" s="16"/>
      <c r="B573" s="16"/>
      <c r="C573" s="46"/>
      <c r="D573" s="16"/>
      <c r="E573" s="16" t="s">
        <v>930</v>
      </c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>
      <c r="A574" s="16"/>
      <c r="B574" s="16"/>
      <c r="C574" s="46"/>
      <c r="D574" s="16"/>
      <c r="E574" s="16" t="s">
        <v>930</v>
      </c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>
      <c r="A575" s="16"/>
      <c r="B575" s="16"/>
      <c r="C575" s="46"/>
      <c r="D575" s="16"/>
      <c r="E575" s="16" t="s">
        <v>930</v>
      </c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>
      <c r="A576" s="16"/>
      <c r="B576" s="16"/>
      <c r="C576" s="46"/>
      <c r="D576" s="16"/>
      <c r="E576" s="16" t="s">
        <v>930</v>
      </c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>
      <c r="A577" s="16"/>
      <c r="B577" s="16"/>
      <c r="C577" s="46"/>
      <c r="D577" s="16"/>
      <c r="E577" s="16" t="s">
        <v>930</v>
      </c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>
      <c r="A578" s="16"/>
      <c r="B578" s="16"/>
      <c r="C578" s="46"/>
      <c r="D578" s="16"/>
      <c r="E578" s="16" t="s">
        <v>930</v>
      </c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>
      <c r="A579" s="16"/>
      <c r="B579" s="16"/>
      <c r="C579" s="46"/>
      <c r="D579" s="16"/>
      <c r="E579" s="16" t="s">
        <v>930</v>
      </c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>
      <c r="A580" s="16"/>
      <c r="B580" s="16"/>
      <c r="C580" s="46"/>
      <c r="D580" s="16"/>
      <c r="E580" s="16" t="s">
        <v>930</v>
      </c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>
      <c r="A581" s="16"/>
      <c r="B581" s="16"/>
      <c r="C581" s="46"/>
      <c r="D581" s="16"/>
      <c r="E581" s="16" t="s">
        <v>930</v>
      </c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>
      <c r="A582" s="16"/>
      <c r="B582" s="16"/>
      <c r="C582" s="46"/>
      <c r="D582" s="16"/>
      <c r="E582" s="16" t="s">
        <v>930</v>
      </c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>
      <c r="A583" s="16"/>
      <c r="B583" s="16"/>
      <c r="C583" s="46"/>
      <c r="D583" s="16"/>
      <c r="E583" s="16" t="s">
        <v>930</v>
      </c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>
      <c r="A584" s="16"/>
      <c r="B584" s="16"/>
      <c r="C584" s="46"/>
      <c r="D584" s="16"/>
      <c r="E584" s="16" t="s">
        <v>930</v>
      </c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>
      <c r="A585" s="16"/>
      <c r="B585" s="16"/>
      <c r="C585" s="46"/>
      <c r="D585" s="16"/>
      <c r="E585" s="16" t="s">
        <v>930</v>
      </c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>
      <c r="A586" s="16"/>
      <c r="B586" s="16"/>
      <c r="C586" s="46"/>
      <c r="D586" s="16"/>
      <c r="E586" s="16" t="s">
        <v>930</v>
      </c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>
      <c r="A587" s="16"/>
      <c r="B587" s="16"/>
      <c r="C587" s="46"/>
      <c r="D587" s="16"/>
      <c r="E587" s="16" t="s">
        <v>930</v>
      </c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>
      <c r="A588" s="16"/>
      <c r="B588" s="16"/>
      <c r="C588" s="46"/>
      <c r="D588" s="16"/>
      <c r="E588" s="16" t="s">
        <v>930</v>
      </c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>
      <c r="A589" s="16"/>
      <c r="B589" s="16"/>
      <c r="C589" s="46"/>
      <c r="D589" s="16"/>
      <c r="E589" s="16" t="s">
        <v>930</v>
      </c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>
      <c r="A590" s="16"/>
      <c r="B590" s="16"/>
      <c r="C590" s="46"/>
      <c r="D590" s="16"/>
      <c r="E590" s="16" t="s">
        <v>930</v>
      </c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>
      <c r="A591" s="16"/>
      <c r="B591" s="16"/>
      <c r="C591" s="46"/>
      <c r="D591" s="16"/>
      <c r="E591" s="16" t="s">
        <v>930</v>
      </c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>
      <c r="A592" s="16"/>
      <c r="B592" s="16"/>
      <c r="C592" s="46"/>
      <c r="D592" s="16"/>
      <c r="E592" s="16" t="s">
        <v>930</v>
      </c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>
      <c r="A593" s="16"/>
      <c r="B593" s="16"/>
      <c r="C593" s="46"/>
      <c r="D593" s="16"/>
      <c r="E593" s="16" t="s">
        <v>930</v>
      </c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>
      <c r="A594" s="16"/>
      <c r="B594" s="16"/>
      <c r="C594" s="46"/>
      <c r="D594" s="16"/>
      <c r="E594" s="16" t="s">
        <v>930</v>
      </c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>
      <c r="A595" s="16"/>
      <c r="B595" s="16"/>
      <c r="C595" s="46"/>
      <c r="D595" s="16"/>
      <c r="E595" s="16" t="s">
        <v>930</v>
      </c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>
      <c r="A596" s="16"/>
      <c r="B596" s="16"/>
      <c r="C596" s="46"/>
      <c r="D596" s="16"/>
      <c r="E596" s="16" t="s">
        <v>930</v>
      </c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>
      <c r="A597" s="16"/>
      <c r="B597" s="16"/>
      <c r="C597" s="46"/>
      <c r="D597" s="16"/>
      <c r="E597" s="16" t="s">
        <v>930</v>
      </c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>
      <c r="A598" s="16"/>
      <c r="B598" s="16"/>
      <c r="C598" s="46"/>
      <c r="D598" s="16"/>
      <c r="E598" s="16" t="s">
        <v>930</v>
      </c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>
      <c r="A599" s="16"/>
      <c r="B599" s="16"/>
      <c r="C599" s="46"/>
      <c r="D599" s="16"/>
      <c r="E599" s="16" t="s">
        <v>930</v>
      </c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>
      <c r="A600" s="16"/>
      <c r="B600" s="16"/>
      <c r="C600" s="46"/>
      <c r="D600" s="16"/>
      <c r="E600" s="16" t="s">
        <v>930</v>
      </c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>
      <c r="A601" s="16"/>
      <c r="B601" s="16"/>
      <c r="C601" s="46"/>
      <c r="D601" s="16"/>
      <c r="E601" s="16" t="s">
        <v>930</v>
      </c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>
      <c r="A602" s="16"/>
      <c r="B602" s="16"/>
      <c r="C602" s="46"/>
      <c r="D602" s="16"/>
      <c r="E602" s="16" t="s">
        <v>930</v>
      </c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>
      <c r="A603" s="16"/>
      <c r="B603" s="16"/>
      <c r="C603" s="46"/>
      <c r="D603" s="16"/>
      <c r="E603" s="16" t="s">
        <v>930</v>
      </c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>
      <c r="A604" s="16"/>
      <c r="B604" s="16"/>
      <c r="C604" s="46"/>
      <c r="D604" s="16"/>
      <c r="E604" s="16" t="s">
        <v>930</v>
      </c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>
      <c r="A605" s="16"/>
      <c r="B605" s="16"/>
      <c r="C605" s="46"/>
      <c r="D605" s="16"/>
      <c r="E605" s="16" t="s">
        <v>930</v>
      </c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>
      <c r="A606" s="16"/>
      <c r="B606" s="16"/>
      <c r="C606" s="46"/>
      <c r="D606" s="16"/>
      <c r="E606" s="16" t="s">
        <v>930</v>
      </c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>
      <c r="A607" s="16"/>
      <c r="B607" s="16"/>
      <c r="C607" s="46"/>
      <c r="D607" s="16"/>
      <c r="E607" s="16" t="s">
        <v>930</v>
      </c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>
      <c r="A608" s="16"/>
      <c r="B608" s="16"/>
      <c r="C608" s="46"/>
      <c r="D608" s="16"/>
      <c r="E608" s="16" t="s">
        <v>930</v>
      </c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>
      <c r="A609" s="16"/>
      <c r="B609" s="16"/>
      <c r="C609" s="46"/>
      <c r="D609" s="16"/>
      <c r="E609" s="16" t="s">
        <v>930</v>
      </c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>
      <c r="A610" s="16"/>
      <c r="B610" s="16"/>
      <c r="C610" s="46"/>
      <c r="D610" s="16"/>
      <c r="E610" s="16" t="s">
        <v>930</v>
      </c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>
      <c r="A611" s="16"/>
      <c r="B611" s="16"/>
      <c r="C611" s="46"/>
      <c r="D611" s="16"/>
      <c r="E611" s="16" t="s">
        <v>930</v>
      </c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>
      <c r="A612" s="16"/>
      <c r="B612" s="16"/>
      <c r="C612" s="46"/>
      <c r="D612" s="16"/>
      <c r="E612" s="16" t="s">
        <v>930</v>
      </c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>
      <c r="A613" s="16"/>
      <c r="B613" s="16"/>
      <c r="C613" s="46"/>
      <c r="D613" s="16"/>
      <c r="E613" s="16" t="s">
        <v>930</v>
      </c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>
      <c r="A614" s="16"/>
      <c r="B614" s="16"/>
      <c r="C614" s="46"/>
      <c r="D614" s="16"/>
      <c r="E614" s="16" t="s">
        <v>930</v>
      </c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>
      <c r="A615" s="16"/>
      <c r="B615" s="16"/>
      <c r="C615" s="46"/>
      <c r="D615" s="16"/>
      <c r="E615" s="16" t="s">
        <v>930</v>
      </c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>
      <c r="A616" s="16"/>
      <c r="B616" s="16"/>
      <c r="C616" s="46"/>
      <c r="D616" s="16"/>
      <c r="E616" s="16" t="s">
        <v>930</v>
      </c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>
      <c r="A617" s="16"/>
      <c r="B617" s="16"/>
      <c r="C617" s="46"/>
      <c r="D617" s="16"/>
      <c r="E617" s="16" t="s">
        <v>930</v>
      </c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>
      <c r="A618" s="16"/>
      <c r="B618" s="16"/>
      <c r="C618" s="46"/>
      <c r="D618" s="16"/>
      <c r="E618" s="16" t="s">
        <v>930</v>
      </c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>
      <c r="A619" s="16"/>
      <c r="B619" s="16"/>
      <c r="C619" s="46"/>
      <c r="D619" s="16"/>
      <c r="E619" s="16" t="s">
        <v>930</v>
      </c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>
      <c r="A620" s="16"/>
      <c r="B620" s="16"/>
      <c r="C620" s="46"/>
      <c r="D620" s="16"/>
      <c r="E620" s="16" t="s">
        <v>930</v>
      </c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>
      <c r="A621" s="16"/>
      <c r="B621" s="16"/>
      <c r="C621" s="46"/>
      <c r="D621" s="16"/>
      <c r="E621" s="16" t="s">
        <v>930</v>
      </c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>
      <c r="A622" s="16"/>
      <c r="B622" s="16"/>
      <c r="C622" s="46"/>
      <c r="D622" s="16"/>
      <c r="E622" s="16" t="s">
        <v>930</v>
      </c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>
      <c r="A623" s="16"/>
      <c r="B623" s="16"/>
      <c r="C623" s="46"/>
      <c r="D623" s="16"/>
      <c r="E623" s="16" t="s">
        <v>930</v>
      </c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>
      <c r="A624" s="16"/>
      <c r="B624" s="16"/>
      <c r="C624" s="46"/>
      <c r="D624" s="16"/>
      <c r="E624" s="16" t="s">
        <v>930</v>
      </c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>
      <c r="A625" s="16"/>
      <c r="B625" s="16"/>
      <c r="C625" s="46"/>
      <c r="D625" s="16"/>
      <c r="E625" s="16" t="s">
        <v>930</v>
      </c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>
      <c r="A626" s="16"/>
      <c r="B626" s="16"/>
      <c r="C626" s="46"/>
      <c r="D626" s="16"/>
      <c r="E626" s="16" t="s">
        <v>930</v>
      </c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>
      <c r="A627" s="16"/>
      <c r="B627" s="16"/>
      <c r="C627" s="46"/>
      <c r="D627" s="16"/>
      <c r="E627" s="16" t="s">
        <v>930</v>
      </c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>
      <c r="A628" s="16"/>
      <c r="B628" s="16"/>
      <c r="C628" s="46"/>
      <c r="D628" s="16"/>
      <c r="E628" s="16" t="s">
        <v>930</v>
      </c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>
      <c r="A629" s="16"/>
      <c r="B629" s="16"/>
      <c r="C629" s="46"/>
      <c r="D629" s="16"/>
      <c r="E629" s="16" t="s">
        <v>930</v>
      </c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>
      <c r="A630" s="16"/>
      <c r="B630" s="16"/>
      <c r="C630" s="46"/>
      <c r="D630" s="16"/>
      <c r="E630" s="16" t="s">
        <v>930</v>
      </c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>
      <c r="A631" s="16"/>
      <c r="B631" s="16"/>
      <c r="C631" s="46"/>
      <c r="D631" s="16"/>
      <c r="E631" s="16" t="s">
        <v>930</v>
      </c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>
      <c r="A632" s="16"/>
      <c r="B632" s="16"/>
      <c r="C632" s="46"/>
      <c r="D632" s="16"/>
      <c r="E632" s="16" t="s">
        <v>930</v>
      </c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>
      <c r="A633" s="16"/>
      <c r="B633" s="16"/>
      <c r="C633" s="46"/>
      <c r="D633" s="16"/>
      <c r="E633" s="16" t="s">
        <v>930</v>
      </c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>
      <c r="A634" s="16"/>
      <c r="B634" s="16"/>
      <c r="C634" s="46"/>
      <c r="D634" s="16"/>
      <c r="E634" s="16" t="s">
        <v>930</v>
      </c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>
      <c r="A635" s="16"/>
      <c r="B635" s="16"/>
      <c r="C635" s="46"/>
      <c r="D635" s="16"/>
      <c r="E635" s="16" t="s">
        <v>930</v>
      </c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>
      <c r="A636" s="16"/>
      <c r="B636" s="16"/>
      <c r="C636" s="46"/>
      <c r="D636" s="16"/>
      <c r="E636" s="16" t="s">
        <v>930</v>
      </c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>
      <c r="A637" s="16"/>
      <c r="B637" s="16"/>
      <c r="C637" s="46"/>
      <c r="D637" s="16"/>
      <c r="E637" s="16" t="s">
        <v>930</v>
      </c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>
      <c r="A638" s="16"/>
      <c r="B638" s="16"/>
      <c r="C638" s="46"/>
      <c r="D638" s="16"/>
      <c r="E638" s="16" t="s">
        <v>930</v>
      </c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>
      <c r="A639" s="16"/>
      <c r="B639" s="16"/>
      <c r="C639" s="46"/>
      <c r="D639" s="16"/>
      <c r="E639" s="16" t="s">
        <v>930</v>
      </c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>
      <c r="A640" s="16"/>
      <c r="B640" s="16"/>
      <c r="C640" s="46"/>
      <c r="D640" s="16"/>
      <c r="E640" s="16" t="s">
        <v>930</v>
      </c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>
      <c r="A641" s="16"/>
      <c r="B641" s="16"/>
      <c r="C641" s="46"/>
      <c r="D641" s="16"/>
      <c r="E641" s="16" t="s">
        <v>930</v>
      </c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>
      <c r="A642" s="16"/>
      <c r="B642" s="16"/>
      <c r="C642" s="46"/>
      <c r="D642" s="16"/>
      <c r="E642" s="16" t="s">
        <v>930</v>
      </c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>
      <c r="A643" s="16"/>
      <c r="B643" s="16"/>
      <c r="C643" s="46"/>
      <c r="D643" s="16"/>
      <c r="E643" s="16" t="s">
        <v>930</v>
      </c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>
      <c r="A644" s="16"/>
      <c r="B644" s="16"/>
      <c r="C644" s="46"/>
      <c r="D644" s="16"/>
      <c r="E644" s="16" t="s">
        <v>930</v>
      </c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>
      <c r="A645" s="16"/>
      <c r="B645" s="16"/>
      <c r="C645" s="46"/>
      <c r="D645" s="16"/>
      <c r="E645" s="16" t="s">
        <v>930</v>
      </c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>
      <c r="A646" s="16"/>
      <c r="B646" s="16"/>
      <c r="C646" s="46"/>
      <c r="D646" s="16"/>
      <c r="E646" s="16" t="s">
        <v>930</v>
      </c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>
      <c r="A647" s="16"/>
      <c r="B647" s="16"/>
      <c r="C647" s="46"/>
      <c r="D647" s="16"/>
      <c r="E647" s="16" t="s">
        <v>930</v>
      </c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>
      <c r="A648" s="16"/>
      <c r="B648" s="16"/>
      <c r="C648" s="46"/>
      <c r="D648" s="16"/>
      <c r="E648" s="16" t="s">
        <v>930</v>
      </c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>
      <c r="A649" s="16"/>
      <c r="B649" s="16"/>
      <c r="C649" s="46"/>
      <c r="D649" s="16"/>
      <c r="E649" s="16" t="s">
        <v>930</v>
      </c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>
      <c r="A650" s="16"/>
      <c r="B650" s="16"/>
      <c r="C650" s="46"/>
      <c r="D650" s="16"/>
      <c r="E650" s="16" t="s">
        <v>930</v>
      </c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>
      <c r="A651" s="16"/>
      <c r="B651" s="16"/>
      <c r="C651" s="46"/>
      <c r="D651" s="16"/>
      <c r="E651" s="16" t="s">
        <v>930</v>
      </c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>
      <c r="A652" s="16"/>
      <c r="B652" s="16"/>
      <c r="C652" s="46"/>
      <c r="D652" s="16"/>
      <c r="E652" s="16" t="s">
        <v>930</v>
      </c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>
      <c r="A653" s="16"/>
      <c r="B653" s="16"/>
      <c r="C653" s="46"/>
      <c r="D653" s="16"/>
      <c r="E653" s="16" t="s">
        <v>930</v>
      </c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>
      <c r="A654" s="16"/>
      <c r="B654" s="16"/>
      <c r="C654" s="46"/>
      <c r="D654" s="16"/>
      <c r="E654" s="16" t="s">
        <v>930</v>
      </c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>
      <c r="A655" s="16"/>
      <c r="B655" s="16"/>
      <c r="C655" s="46"/>
      <c r="D655" s="16"/>
      <c r="E655" s="16" t="s">
        <v>930</v>
      </c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>
      <c r="A656" s="16"/>
      <c r="B656" s="16"/>
      <c r="C656" s="46"/>
      <c r="D656" s="16"/>
      <c r="E656" s="16" t="s">
        <v>930</v>
      </c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>
      <c r="A657" s="16"/>
      <c r="B657" s="16"/>
      <c r="C657" s="46"/>
      <c r="D657" s="16"/>
      <c r="E657" s="16" t="s">
        <v>930</v>
      </c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>
      <c r="A658" s="16"/>
      <c r="B658" s="16"/>
      <c r="C658" s="46"/>
      <c r="D658" s="16"/>
      <c r="E658" s="16" t="s">
        <v>930</v>
      </c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>
      <c r="A659" s="16"/>
      <c r="B659" s="16"/>
      <c r="C659" s="46"/>
      <c r="D659" s="16"/>
      <c r="E659" s="16" t="s">
        <v>930</v>
      </c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>
      <c r="A660" s="16"/>
      <c r="B660" s="16"/>
      <c r="C660" s="46"/>
      <c r="D660" s="16"/>
      <c r="E660" s="16" t="s">
        <v>930</v>
      </c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>
      <c r="A661" s="16"/>
      <c r="B661" s="16"/>
      <c r="C661" s="46"/>
      <c r="D661" s="16"/>
      <c r="E661" s="16" t="s">
        <v>930</v>
      </c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>
      <c r="A662" s="16"/>
      <c r="B662" s="16"/>
      <c r="C662" s="46"/>
      <c r="D662" s="16"/>
      <c r="E662" s="16" t="s">
        <v>930</v>
      </c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>
      <c r="A663" s="16"/>
      <c r="B663" s="16"/>
      <c r="C663" s="46"/>
      <c r="D663" s="16"/>
      <c r="E663" s="16" t="s">
        <v>930</v>
      </c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>
      <c r="A664" s="16"/>
      <c r="B664" s="16"/>
      <c r="C664" s="46"/>
      <c r="D664" s="16"/>
      <c r="E664" s="16" t="s">
        <v>930</v>
      </c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>
      <c r="A665" s="16"/>
      <c r="B665" s="16"/>
      <c r="C665" s="46"/>
      <c r="D665" s="16"/>
      <c r="E665" s="16" t="s">
        <v>930</v>
      </c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>
      <c r="A666" s="16"/>
      <c r="B666" s="16"/>
      <c r="C666" s="46"/>
      <c r="D666" s="16"/>
      <c r="E666" s="16" t="s">
        <v>930</v>
      </c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>
      <c r="A667" s="16"/>
      <c r="B667" s="16"/>
      <c r="C667" s="46"/>
      <c r="D667" s="16"/>
      <c r="E667" s="16" t="s">
        <v>930</v>
      </c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>
      <c r="A668" s="16"/>
      <c r="B668" s="16"/>
      <c r="C668" s="46"/>
      <c r="D668" s="16"/>
      <c r="E668" s="16" t="s">
        <v>930</v>
      </c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>
      <c r="A669" s="16"/>
      <c r="B669" s="16"/>
      <c r="C669" s="46"/>
      <c r="D669" s="16"/>
      <c r="E669" s="16" t="s">
        <v>930</v>
      </c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>
      <c r="A670" s="16"/>
      <c r="B670" s="16"/>
      <c r="C670" s="46"/>
      <c r="D670" s="16"/>
      <c r="E670" s="16" t="s">
        <v>930</v>
      </c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>
      <c r="A671" s="16"/>
      <c r="B671" s="16"/>
      <c r="C671" s="46"/>
      <c r="D671" s="16"/>
      <c r="E671" s="16" t="s">
        <v>930</v>
      </c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>
      <c r="A672" s="16"/>
      <c r="B672" s="16"/>
      <c r="C672" s="46"/>
      <c r="D672" s="16"/>
      <c r="E672" s="16" t="s">
        <v>930</v>
      </c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>
      <c r="A673" s="16"/>
      <c r="B673" s="16"/>
      <c r="C673" s="46"/>
      <c r="D673" s="16"/>
      <c r="E673" s="16" t="s">
        <v>930</v>
      </c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>
      <c r="A674" s="16"/>
      <c r="B674" s="16"/>
      <c r="C674" s="46"/>
      <c r="D674" s="16"/>
      <c r="E674" s="16" t="s">
        <v>930</v>
      </c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>
      <c r="A675" s="16"/>
      <c r="B675" s="16"/>
      <c r="C675" s="46"/>
      <c r="D675" s="16"/>
      <c r="E675" s="16" t="s">
        <v>930</v>
      </c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>
      <c r="A676" s="16"/>
      <c r="B676" s="16"/>
      <c r="C676" s="46"/>
      <c r="D676" s="16"/>
      <c r="E676" s="16" t="s">
        <v>930</v>
      </c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>
      <c r="A677" s="16"/>
      <c r="B677" s="16"/>
      <c r="C677" s="46"/>
      <c r="D677" s="16"/>
      <c r="E677" s="16" t="s">
        <v>930</v>
      </c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>
      <c r="A678" s="16"/>
      <c r="B678" s="16"/>
      <c r="C678" s="46"/>
      <c r="D678" s="16"/>
      <c r="E678" s="16" t="s">
        <v>930</v>
      </c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>
      <c r="A679" s="16"/>
      <c r="B679" s="16"/>
      <c r="C679" s="46"/>
      <c r="D679" s="16"/>
      <c r="E679" s="16" t="s">
        <v>930</v>
      </c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>
      <c r="A680" s="16"/>
      <c r="B680" s="16"/>
      <c r="C680" s="46"/>
      <c r="D680" s="16"/>
      <c r="E680" s="16" t="s">
        <v>930</v>
      </c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>
      <c r="A681" s="16"/>
      <c r="B681" s="16"/>
      <c r="C681" s="46"/>
      <c r="D681" s="16"/>
      <c r="E681" s="16" t="s">
        <v>930</v>
      </c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>
      <c r="A682" s="16"/>
      <c r="B682" s="16"/>
      <c r="C682" s="46"/>
      <c r="D682" s="16"/>
      <c r="E682" s="16" t="s">
        <v>930</v>
      </c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>
      <c r="A683" s="16"/>
      <c r="B683" s="16"/>
      <c r="C683" s="46"/>
      <c r="D683" s="16"/>
      <c r="E683" s="16" t="s">
        <v>930</v>
      </c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>
      <c r="A684" s="16"/>
      <c r="B684" s="16"/>
      <c r="C684" s="46"/>
      <c r="D684" s="16"/>
      <c r="E684" s="16" t="s">
        <v>930</v>
      </c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>
      <c r="A685" s="16"/>
      <c r="B685" s="16"/>
      <c r="C685" s="46"/>
      <c r="D685" s="16"/>
      <c r="E685" s="16" t="s">
        <v>930</v>
      </c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>
      <c r="A686" s="16"/>
      <c r="B686" s="16"/>
      <c r="C686" s="46"/>
      <c r="D686" s="16"/>
      <c r="E686" s="16" t="s">
        <v>930</v>
      </c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>
      <c r="A687" s="16"/>
      <c r="B687" s="16"/>
      <c r="C687" s="46"/>
      <c r="D687" s="16"/>
      <c r="E687" s="16" t="s">
        <v>930</v>
      </c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>
      <c r="A688" s="16"/>
      <c r="B688" s="16"/>
      <c r="C688" s="46"/>
      <c r="D688" s="16"/>
      <c r="E688" s="16" t="s">
        <v>930</v>
      </c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>
      <c r="A689" s="16"/>
      <c r="B689" s="16"/>
      <c r="C689" s="46"/>
      <c r="D689" s="16"/>
      <c r="E689" s="16" t="s">
        <v>930</v>
      </c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>
      <c r="A690" s="16"/>
      <c r="B690" s="16"/>
      <c r="C690" s="46"/>
      <c r="D690" s="16"/>
      <c r="E690" s="16" t="s">
        <v>930</v>
      </c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>
      <c r="A691" s="16"/>
      <c r="B691" s="16"/>
      <c r="C691" s="46"/>
      <c r="D691" s="16"/>
      <c r="E691" s="16" t="s">
        <v>930</v>
      </c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>
      <c r="A692" s="16"/>
      <c r="B692" s="16"/>
      <c r="C692" s="46"/>
      <c r="D692" s="16"/>
      <c r="E692" s="16" t="s">
        <v>930</v>
      </c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>
      <c r="A693" s="16"/>
      <c r="B693" s="16"/>
      <c r="C693" s="46"/>
      <c r="D693" s="16"/>
      <c r="E693" s="16" t="s">
        <v>930</v>
      </c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>
      <c r="A694" s="16"/>
      <c r="B694" s="16"/>
      <c r="C694" s="46"/>
      <c r="D694" s="16"/>
      <c r="E694" s="16" t="s">
        <v>930</v>
      </c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>
      <c r="A695" s="16"/>
      <c r="B695" s="16"/>
      <c r="C695" s="46"/>
      <c r="D695" s="16"/>
      <c r="E695" s="16" t="s">
        <v>930</v>
      </c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>
      <c r="A696" s="16"/>
      <c r="B696" s="16"/>
      <c r="C696" s="46"/>
      <c r="D696" s="16"/>
      <c r="E696" s="16" t="s">
        <v>930</v>
      </c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>
      <c r="A697" s="16"/>
      <c r="B697" s="16"/>
      <c r="C697" s="46"/>
      <c r="D697" s="16"/>
      <c r="E697" s="16" t="s">
        <v>930</v>
      </c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>
      <c r="A698" s="16"/>
      <c r="B698" s="16"/>
      <c r="C698" s="46"/>
      <c r="D698" s="16"/>
      <c r="E698" s="16" t="s">
        <v>930</v>
      </c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>
      <c r="A699" s="16"/>
      <c r="B699" s="16"/>
      <c r="C699" s="46"/>
      <c r="D699" s="16"/>
      <c r="E699" s="16" t="s">
        <v>930</v>
      </c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>
      <c r="A700" s="16"/>
      <c r="B700" s="16"/>
      <c r="C700" s="46"/>
      <c r="D700" s="16"/>
      <c r="E700" s="16" t="s">
        <v>930</v>
      </c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>
      <c r="A701" s="16"/>
      <c r="B701" s="16"/>
      <c r="C701" s="46"/>
      <c r="D701" s="16"/>
      <c r="E701" s="16" t="s">
        <v>930</v>
      </c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>
      <c r="A702" s="16"/>
      <c r="B702" s="16"/>
      <c r="C702" s="46"/>
      <c r="D702" s="16"/>
      <c r="E702" s="16" t="s">
        <v>930</v>
      </c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>
      <c r="A703" s="16"/>
      <c r="B703" s="16"/>
      <c r="C703" s="46"/>
      <c r="D703" s="16"/>
      <c r="E703" s="16" t="s">
        <v>930</v>
      </c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>
      <c r="A704" s="16"/>
      <c r="B704" s="16"/>
      <c r="C704" s="46"/>
      <c r="D704" s="16"/>
      <c r="E704" s="16" t="s">
        <v>930</v>
      </c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>
      <c r="A705" s="16"/>
      <c r="B705" s="16"/>
      <c r="C705" s="46"/>
      <c r="D705" s="16"/>
      <c r="E705" s="16" t="s">
        <v>930</v>
      </c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>
      <c r="A706" s="16"/>
      <c r="B706" s="16"/>
      <c r="C706" s="46"/>
      <c r="D706" s="16"/>
      <c r="E706" s="16" t="s">
        <v>930</v>
      </c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>
      <c r="A707" s="16"/>
      <c r="B707" s="16"/>
      <c r="C707" s="46"/>
      <c r="D707" s="16"/>
      <c r="E707" s="16" t="s">
        <v>930</v>
      </c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>
      <c r="A708" s="16"/>
      <c r="B708" s="16"/>
      <c r="C708" s="46"/>
      <c r="D708" s="16"/>
      <c r="E708" s="16" t="s">
        <v>930</v>
      </c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>
      <c r="A709" s="16"/>
      <c r="B709" s="16"/>
      <c r="C709" s="46"/>
      <c r="D709" s="16"/>
      <c r="E709" s="16" t="s">
        <v>930</v>
      </c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>
      <c r="A710" s="16"/>
      <c r="B710" s="16"/>
      <c r="C710" s="46"/>
      <c r="D710" s="16"/>
      <c r="E710" s="16" t="s">
        <v>930</v>
      </c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>
      <c r="A711" s="16"/>
      <c r="B711" s="16"/>
      <c r="C711" s="46"/>
      <c r="D711" s="16"/>
      <c r="E711" s="16" t="s">
        <v>930</v>
      </c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>
      <c r="A712" s="16"/>
      <c r="B712" s="16"/>
      <c r="C712" s="46"/>
      <c r="D712" s="16"/>
      <c r="E712" s="16" t="s">
        <v>930</v>
      </c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>
      <c r="A713" s="16"/>
      <c r="B713" s="16"/>
      <c r="C713" s="46"/>
      <c r="D713" s="16"/>
      <c r="E713" s="16" t="s">
        <v>930</v>
      </c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>
      <c r="A714" s="16"/>
      <c r="B714" s="16"/>
      <c r="C714" s="46"/>
      <c r="D714" s="16"/>
      <c r="E714" s="16" t="s">
        <v>930</v>
      </c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>
      <c r="A715" s="16"/>
      <c r="B715" s="16"/>
      <c r="C715" s="46"/>
      <c r="D715" s="16"/>
      <c r="E715" s="16" t="s">
        <v>930</v>
      </c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>
      <c r="A716" s="16"/>
      <c r="B716" s="16"/>
      <c r="C716" s="46"/>
      <c r="D716" s="16"/>
      <c r="E716" s="16" t="s">
        <v>930</v>
      </c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>
      <c r="A717" s="16"/>
      <c r="B717" s="16"/>
      <c r="C717" s="46"/>
      <c r="D717" s="16"/>
      <c r="E717" s="16" t="s">
        <v>930</v>
      </c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>
      <c r="A718" s="16"/>
      <c r="B718" s="16"/>
      <c r="C718" s="46"/>
      <c r="D718" s="16"/>
      <c r="E718" s="16" t="s">
        <v>930</v>
      </c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>
      <c r="A719" s="16"/>
      <c r="B719" s="16"/>
      <c r="C719" s="46"/>
      <c r="D719" s="16"/>
      <c r="E719" s="16" t="s">
        <v>930</v>
      </c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>
      <c r="A720" s="16"/>
      <c r="B720" s="16"/>
      <c r="C720" s="46"/>
      <c r="D720" s="16"/>
      <c r="E720" s="16" t="s">
        <v>930</v>
      </c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>
      <c r="A721" s="16"/>
      <c r="B721" s="16"/>
      <c r="C721" s="46"/>
      <c r="D721" s="16"/>
      <c r="E721" s="16" t="s">
        <v>930</v>
      </c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>
      <c r="A722" s="16"/>
      <c r="B722" s="16"/>
      <c r="C722" s="46"/>
      <c r="D722" s="16"/>
      <c r="E722" s="16" t="s">
        <v>930</v>
      </c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>
      <c r="A723" s="16"/>
      <c r="B723" s="16"/>
      <c r="C723" s="46"/>
      <c r="D723" s="16"/>
      <c r="E723" s="16" t="s">
        <v>930</v>
      </c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>
      <c r="A724" s="16"/>
      <c r="B724" s="16"/>
      <c r="C724" s="46"/>
      <c r="D724" s="16"/>
      <c r="E724" s="16" t="s">
        <v>930</v>
      </c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>
      <c r="A725" s="16"/>
      <c r="B725" s="16"/>
      <c r="C725" s="46"/>
      <c r="D725" s="16"/>
      <c r="E725" s="16" t="s">
        <v>930</v>
      </c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>
      <c r="A726" s="16"/>
      <c r="B726" s="16"/>
      <c r="C726" s="46"/>
      <c r="D726" s="16"/>
      <c r="E726" s="16" t="s">
        <v>930</v>
      </c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>
      <c r="A727" s="16"/>
      <c r="B727" s="16"/>
      <c r="C727" s="46"/>
      <c r="D727" s="16"/>
      <c r="E727" s="16" t="s">
        <v>930</v>
      </c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>
      <c r="A728" s="16"/>
      <c r="B728" s="16"/>
      <c r="C728" s="46"/>
      <c r="D728" s="16"/>
      <c r="E728" s="16" t="s">
        <v>930</v>
      </c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>
      <c r="A729" s="16"/>
      <c r="B729" s="16"/>
      <c r="C729" s="46"/>
      <c r="D729" s="16"/>
      <c r="E729" s="16" t="s">
        <v>930</v>
      </c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>
      <c r="A730" s="16"/>
      <c r="B730" s="16"/>
      <c r="C730" s="46"/>
      <c r="D730" s="16"/>
      <c r="E730" s="16" t="s">
        <v>930</v>
      </c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>
      <c r="A731" s="16"/>
      <c r="B731" s="16"/>
      <c r="C731" s="46"/>
      <c r="D731" s="16"/>
      <c r="E731" s="16" t="s">
        <v>930</v>
      </c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>
      <c r="A732" s="16"/>
      <c r="B732" s="16"/>
      <c r="C732" s="46"/>
      <c r="D732" s="16"/>
      <c r="E732" s="16" t="s">
        <v>930</v>
      </c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>
      <c r="A733" s="16"/>
      <c r="B733" s="16"/>
      <c r="C733" s="46"/>
      <c r="D733" s="16"/>
      <c r="E733" s="16" t="s">
        <v>930</v>
      </c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>
      <c r="A734" s="16"/>
      <c r="B734" s="16"/>
      <c r="C734" s="46"/>
      <c r="D734" s="16"/>
      <c r="E734" s="16" t="s">
        <v>930</v>
      </c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>
      <c r="A735" s="16"/>
      <c r="B735" s="16"/>
      <c r="C735" s="46"/>
      <c r="D735" s="16"/>
      <c r="E735" s="16" t="s">
        <v>930</v>
      </c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>
      <c r="A736" s="16"/>
      <c r="B736" s="16"/>
      <c r="C736" s="46"/>
      <c r="D736" s="16"/>
      <c r="E736" s="16" t="s">
        <v>930</v>
      </c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>
      <c r="A737" s="16"/>
      <c r="B737" s="16"/>
      <c r="C737" s="46"/>
      <c r="D737" s="16"/>
      <c r="E737" s="16" t="s">
        <v>930</v>
      </c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>
      <c r="A738" s="16"/>
      <c r="B738" s="16"/>
      <c r="C738" s="46"/>
      <c r="D738" s="16"/>
      <c r="E738" s="16" t="s">
        <v>930</v>
      </c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>
      <c r="A739" s="16"/>
      <c r="B739" s="16"/>
      <c r="C739" s="46"/>
      <c r="D739" s="16"/>
      <c r="E739" s="16" t="s">
        <v>930</v>
      </c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>
      <c r="A740" s="16"/>
      <c r="B740" s="16"/>
      <c r="C740" s="46"/>
      <c r="D740" s="16"/>
      <c r="E740" s="16" t="s">
        <v>930</v>
      </c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>
      <c r="A741" s="16"/>
      <c r="B741" s="16"/>
      <c r="C741" s="46"/>
      <c r="D741" s="16"/>
      <c r="E741" s="16" t="s">
        <v>930</v>
      </c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>
      <c r="A742" s="16"/>
      <c r="B742" s="16"/>
      <c r="C742" s="46"/>
      <c r="D742" s="16"/>
      <c r="E742" s="16" t="s">
        <v>930</v>
      </c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>
      <c r="A743" s="16"/>
      <c r="B743" s="16"/>
      <c r="C743" s="46"/>
      <c r="D743" s="16"/>
      <c r="E743" s="16" t="s">
        <v>930</v>
      </c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>
      <c r="A744" s="16"/>
      <c r="B744" s="16"/>
      <c r="C744" s="46"/>
      <c r="D744" s="16"/>
      <c r="E744" s="16" t="s">
        <v>930</v>
      </c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>
      <c r="A745" s="16"/>
      <c r="B745" s="16"/>
      <c r="C745" s="46"/>
      <c r="D745" s="16"/>
      <c r="E745" s="16" t="s">
        <v>930</v>
      </c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>
      <c r="A746" s="16"/>
      <c r="B746" s="16"/>
      <c r="C746" s="46"/>
      <c r="D746" s="16"/>
      <c r="E746" s="16" t="s">
        <v>930</v>
      </c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>
      <c r="A747" s="16"/>
      <c r="B747" s="16"/>
      <c r="C747" s="46"/>
      <c r="D747" s="16"/>
      <c r="E747" s="16" t="s">
        <v>930</v>
      </c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>
      <c r="A748" s="16"/>
      <c r="B748" s="16"/>
      <c r="C748" s="46"/>
      <c r="D748" s="16"/>
      <c r="E748" s="16" t="s">
        <v>930</v>
      </c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>
      <c r="A749" s="16"/>
      <c r="B749" s="16"/>
      <c r="C749" s="46"/>
      <c r="D749" s="16"/>
      <c r="E749" s="16" t="s">
        <v>930</v>
      </c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>
      <c r="A750" s="16"/>
      <c r="B750" s="16"/>
      <c r="C750" s="46"/>
      <c r="D750" s="16"/>
      <c r="E750" s="16" t="s">
        <v>930</v>
      </c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>
      <c r="A751" s="16"/>
      <c r="B751" s="16"/>
      <c r="C751" s="46"/>
      <c r="D751" s="16"/>
      <c r="E751" s="16" t="s">
        <v>930</v>
      </c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>
      <c r="A752" s="16"/>
      <c r="B752" s="16"/>
      <c r="C752" s="46"/>
      <c r="D752" s="16"/>
      <c r="E752" s="16" t="s">
        <v>930</v>
      </c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>
      <c r="A753" s="16"/>
      <c r="B753" s="16"/>
      <c r="C753" s="46"/>
      <c r="D753" s="16"/>
      <c r="E753" s="16" t="s">
        <v>930</v>
      </c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>
      <c r="A754" s="16"/>
      <c r="B754" s="16"/>
      <c r="C754" s="46"/>
      <c r="D754" s="16"/>
      <c r="E754" s="16" t="s">
        <v>930</v>
      </c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>
      <c r="A755" s="16"/>
      <c r="B755" s="16"/>
      <c r="C755" s="46"/>
      <c r="D755" s="16"/>
      <c r="E755" s="16" t="s">
        <v>930</v>
      </c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>
      <c r="A756" s="16"/>
      <c r="B756" s="16"/>
      <c r="C756" s="46"/>
      <c r="D756" s="16"/>
      <c r="E756" s="16" t="s">
        <v>930</v>
      </c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>
      <c r="A757" s="16"/>
      <c r="B757" s="16"/>
      <c r="C757" s="46"/>
      <c r="D757" s="16"/>
      <c r="E757" s="16" t="s">
        <v>930</v>
      </c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>
      <c r="A758" s="16"/>
      <c r="B758" s="16"/>
      <c r="C758" s="46"/>
      <c r="D758" s="16"/>
      <c r="E758" s="16" t="s">
        <v>930</v>
      </c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>
      <c r="A759" s="16"/>
      <c r="B759" s="16"/>
      <c r="C759" s="46"/>
      <c r="D759" s="16"/>
      <c r="E759" s="16" t="s">
        <v>930</v>
      </c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>
      <c r="A760" s="16"/>
      <c r="B760" s="16"/>
      <c r="C760" s="46"/>
      <c r="D760" s="16"/>
      <c r="E760" s="16" t="s">
        <v>930</v>
      </c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>
      <c r="A761" s="16"/>
      <c r="B761" s="16"/>
      <c r="C761" s="46"/>
      <c r="D761" s="16"/>
      <c r="E761" s="16" t="s">
        <v>930</v>
      </c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>
      <c r="A762" s="16"/>
      <c r="B762" s="16"/>
      <c r="C762" s="46"/>
      <c r="D762" s="16"/>
      <c r="E762" s="16" t="s">
        <v>930</v>
      </c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>
      <c r="A763" s="16"/>
      <c r="B763" s="16"/>
      <c r="C763" s="46"/>
      <c r="D763" s="16"/>
      <c r="E763" s="16" t="s">
        <v>930</v>
      </c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>
      <c r="A764" s="16"/>
      <c r="B764" s="16"/>
      <c r="C764" s="46"/>
      <c r="D764" s="16"/>
      <c r="E764" s="16" t="s">
        <v>930</v>
      </c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>
      <c r="A765" s="16"/>
      <c r="B765" s="16"/>
      <c r="C765" s="46"/>
      <c r="D765" s="16"/>
      <c r="E765" s="16" t="s">
        <v>930</v>
      </c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>
      <c r="A766" s="16"/>
      <c r="B766" s="16"/>
      <c r="C766" s="46"/>
      <c r="D766" s="16"/>
      <c r="E766" s="16" t="s">
        <v>930</v>
      </c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>
      <c r="A767" s="16"/>
      <c r="B767" s="16"/>
      <c r="C767" s="46"/>
      <c r="D767" s="16"/>
      <c r="E767" s="16" t="s">
        <v>930</v>
      </c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>
      <c r="A768" s="16"/>
      <c r="B768" s="16"/>
      <c r="C768" s="46"/>
      <c r="D768" s="16"/>
      <c r="E768" s="16" t="s">
        <v>930</v>
      </c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>
      <c r="A769" s="16"/>
      <c r="B769" s="16"/>
      <c r="C769" s="46"/>
      <c r="D769" s="16"/>
      <c r="E769" s="16" t="s">
        <v>930</v>
      </c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>
      <c r="A770" s="16"/>
      <c r="B770" s="16"/>
      <c r="C770" s="46"/>
      <c r="D770" s="16"/>
      <c r="E770" s="16" t="s">
        <v>930</v>
      </c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>
      <c r="A771" s="16"/>
      <c r="B771" s="16"/>
      <c r="C771" s="46"/>
      <c r="D771" s="16"/>
      <c r="E771" s="16" t="s">
        <v>930</v>
      </c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>
      <c r="A772" s="16"/>
      <c r="B772" s="16"/>
      <c r="C772" s="46"/>
      <c r="D772" s="16"/>
      <c r="E772" s="16" t="s">
        <v>930</v>
      </c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>
      <c r="A773" s="16"/>
      <c r="B773" s="16"/>
      <c r="C773" s="46"/>
      <c r="D773" s="16"/>
      <c r="E773" s="16" t="s">
        <v>930</v>
      </c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>
      <c r="A774" s="16"/>
      <c r="B774" s="16"/>
      <c r="C774" s="46"/>
      <c r="D774" s="16"/>
      <c r="E774" s="16" t="s">
        <v>930</v>
      </c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>
      <c r="A775" s="16"/>
      <c r="B775" s="16"/>
      <c r="C775" s="46"/>
      <c r="D775" s="16"/>
      <c r="E775" s="16" t="s">
        <v>930</v>
      </c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>
      <c r="A776" s="16"/>
      <c r="B776" s="16"/>
      <c r="C776" s="46"/>
      <c r="D776" s="16"/>
      <c r="E776" s="16" t="s">
        <v>930</v>
      </c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>
      <c r="A777" s="16"/>
      <c r="B777" s="16"/>
      <c r="C777" s="46"/>
      <c r="D777" s="16"/>
      <c r="E777" s="16" t="s">
        <v>930</v>
      </c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>
      <c r="A778" s="16"/>
      <c r="B778" s="16"/>
      <c r="C778" s="46"/>
      <c r="D778" s="16"/>
      <c r="E778" s="16" t="s">
        <v>930</v>
      </c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>
      <c r="A779" s="16"/>
      <c r="B779" s="16"/>
      <c r="C779" s="46"/>
      <c r="D779" s="16"/>
      <c r="E779" s="16" t="s">
        <v>930</v>
      </c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>
      <c r="A780" s="16"/>
      <c r="B780" s="16"/>
      <c r="C780" s="46"/>
      <c r="D780" s="16"/>
      <c r="E780" s="16" t="s">
        <v>930</v>
      </c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>
      <c r="A781" s="16"/>
      <c r="B781" s="16"/>
      <c r="C781" s="46"/>
      <c r="D781" s="16"/>
      <c r="E781" s="16" t="s">
        <v>930</v>
      </c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>
      <c r="A782" s="16"/>
      <c r="B782" s="16"/>
      <c r="C782" s="46"/>
      <c r="D782" s="16"/>
      <c r="E782" s="16" t="s">
        <v>930</v>
      </c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>
      <c r="A783" s="16"/>
      <c r="B783" s="16"/>
      <c r="C783" s="46"/>
      <c r="D783" s="16"/>
      <c r="E783" s="16" t="s">
        <v>930</v>
      </c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>
      <c r="A784" s="16"/>
      <c r="B784" s="16"/>
      <c r="C784" s="46"/>
      <c r="D784" s="16"/>
      <c r="E784" s="16" t="s">
        <v>930</v>
      </c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>
      <c r="A785" s="16"/>
      <c r="B785" s="16"/>
      <c r="C785" s="46"/>
      <c r="D785" s="16"/>
      <c r="E785" s="16" t="s">
        <v>930</v>
      </c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>
      <c r="A786" s="16"/>
      <c r="B786" s="16"/>
      <c r="C786" s="46"/>
      <c r="D786" s="16"/>
      <c r="E786" s="16" t="s">
        <v>930</v>
      </c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>
      <c r="A787" s="16"/>
      <c r="B787" s="16"/>
      <c r="C787" s="46"/>
      <c r="D787" s="16"/>
      <c r="E787" s="16" t="s">
        <v>930</v>
      </c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>
      <c r="A788" s="16"/>
      <c r="B788" s="16"/>
      <c r="C788" s="46"/>
      <c r="D788" s="16"/>
      <c r="E788" s="16" t="s">
        <v>930</v>
      </c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>
      <c r="A789" s="16"/>
      <c r="B789" s="16"/>
      <c r="C789" s="46"/>
      <c r="D789" s="16"/>
      <c r="E789" s="16" t="s">
        <v>930</v>
      </c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>
      <c r="A790" s="16"/>
      <c r="B790" s="16"/>
      <c r="C790" s="46"/>
      <c r="D790" s="16"/>
      <c r="E790" s="16" t="s">
        <v>930</v>
      </c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>
      <c r="A791" s="16"/>
      <c r="B791" s="16"/>
      <c r="C791" s="46"/>
      <c r="D791" s="16"/>
      <c r="E791" s="16" t="s">
        <v>930</v>
      </c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>
      <c r="A792" s="16"/>
      <c r="B792" s="16"/>
      <c r="C792" s="46"/>
      <c r="D792" s="16"/>
      <c r="E792" s="16" t="s">
        <v>930</v>
      </c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>
      <c r="A793" s="16"/>
      <c r="B793" s="16"/>
      <c r="C793" s="46"/>
      <c r="D793" s="16"/>
      <c r="E793" s="16" t="s">
        <v>930</v>
      </c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>
      <c r="A794" s="16"/>
      <c r="B794" s="16"/>
      <c r="C794" s="46"/>
      <c r="D794" s="16"/>
      <c r="E794" s="16" t="s">
        <v>930</v>
      </c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>
      <c r="A795" s="16"/>
      <c r="B795" s="16"/>
      <c r="C795" s="46"/>
      <c r="D795" s="16"/>
      <c r="E795" s="16" t="s">
        <v>930</v>
      </c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>
      <c r="A796" s="16"/>
      <c r="B796" s="16"/>
      <c r="C796" s="46"/>
      <c r="D796" s="16"/>
      <c r="E796" s="16" t="s">
        <v>930</v>
      </c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>
      <c r="A797" s="16"/>
      <c r="B797" s="16"/>
      <c r="C797" s="46"/>
      <c r="D797" s="16"/>
      <c r="E797" s="16" t="s">
        <v>930</v>
      </c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>
      <c r="A798" s="16"/>
      <c r="B798" s="16"/>
      <c r="C798" s="46"/>
      <c r="D798" s="16"/>
      <c r="E798" s="16" t="s">
        <v>930</v>
      </c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>
      <c r="A799" s="16"/>
      <c r="B799" s="16"/>
      <c r="C799" s="46"/>
      <c r="D799" s="16"/>
      <c r="E799" s="16" t="s">
        <v>930</v>
      </c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>
      <c r="A800" s="16"/>
      <c r="B800" s="16"/>
      <c r="C800" s="46"/>
      <c r="D800" s="16"/>
      <c r="E800" s="16" t="s">
        <v>930</v>
      </c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>
      <c r="A801" s="16"/>
      <c r="B801" s="16"/>
      <c r="C801" s="46"/>
      <c r="D801" s="16"/>
      <c r="E801" s="16" t="s">
        <v>930</v>
      </c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>
      <c r="A802" s="16"/>
      <c r="B802" s="16"/>
      <c r="C802" s="46"/>
      <c r="D802" s="16"/>
      <c r="E802" s="16" t="s">
        <v>930</v>
      </c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>
      <c r="A803" s="16"/>
      <c r="B803" s="16"/>
      <c r="C803" s="46"/>
      <c r="D803" s="16"/>
      <c r="E803" s="16" t="s">
        <v>930</v>
      </c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>
      <c r="A804" s="16"/>
      <c r="B804" s="16"/>
      <c r="C804" s="46"/>
      <c r="D804" s="16"/>
      <c r="E804" s="16" t="s">
        <v>930</v>
      </c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>
      <c r="A805" s="16"/>
      <c r="B805" s="16"/>
      <c r="C805" s="46"/>
      <c r="D805" s="16"/>
      <c r="E805" s="16" t="s">
        <v>930</v>
      </c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>
      <c r="A806" s="16"/>
      <c r="B806" s="16"/>
      <c r="C806" s="46"/>
      <c r="D806" s="16"/>
      <c r="E806" s="16" t="s">
        <v>930</v>
      </c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>
      <c r="A807" s="16"/>
      <c r="B807" s="16"/>
      <c r="C807" s="46"/>
      <c r="D807" s="16"/>
      <c r="E807" s="16" t="s">
        <v>930</v>
      </c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>
      <c r="A808" s="16"/>
      <c r="B808" s="16"/>
      <c r="C808" s="46"/>
      <c r="D808" s="16"/>
      <c r="E808" s="16" t="s">
        <v>930</v>
      </c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>
      <c r="A809" s="16"/>
      <c r="B809" s="16"/>
      <c r="C809" s="46"/>
      <c r="D809" s="16"/>
      <c r="E809" s="16" t="s">
        <v>930</v>
      </c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>
      <c r="A810" s="16"/>
      <c r="B810" s="16"/>
      <c r="C810" s="46"/>
      <c r="D810" s="16"/>
      <c r="E810" s="16" t="s">
        <v>930</v>
      </c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>
      <c r="A811" s="16"/>
      <c r="B811" s="16"/>
      <c r="C811" s="46"/>
      <c r="D811" s="16"/>
      <c r="E811" s="16" t="s">
        <v>930</v>
      </c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>
      <c r="A812" s="16"/>
      <c r="B812" s="16"/>
      <c r="C812" s="46"/>
      <c r="D812" s="16"/>
      <c r="E812" s="16" t="s">
        <v>930</v>
      </c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>
      <c r="A813" s="16"/>
      <c r="B813" s="16"/>
      <c r="C813" s="46"/>
      <c r="D813" s="16"/>
      <c r="E813" s="16" t="s">
        <v>930</v>
      </c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>
      <c r="A814" s="16"/>
      <c r="B814" s="16"/>
      <c r="C814" s="46"/>
      <c r="D814" s="16"/>
      <c r="E814" s="16" t="s">
        <v>930</v>
      </c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>
      <c r="A815" s="16"/>
      <c r="B815" s="16"/>
      <c r="C815" s="46"/>
      <c r="D815" s="16"/>
      <c r="E815" s="16" t="s">
        <v>930</v>
      </c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>
      <c r="A816" s="16"/>
      <c r="B816" s="16"/>
      <c r="C816" s="46"/>
      <c r="D816" s="16"/>
      <c r="E816" s="16" t="s">
        <v>930</v>
      </c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>
      <c r="A817" s="16"/>
      <c r="B817" s="16"/>
      <c r="C817" s="46"/>
      <c r="D817" s="16"/>
      <c r="E817" s="16" t="s">
        <v>930</v>
      </c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>
      <c r="A818" s="16"/>
      <c r="B818" s="16"/>
      <c r="C818" s="46"/>
      <c r="D818" s="16"/>
      <c r="E818" s="16" t="s">
        <v>930</v>
      </c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>
      <c r="A819" s="16"/>
      <c r="B819" s="16"/>
      <c r="C819" s="46"/>
      <c r="D819" s="16"/>
      <c r="E819" s="16" t="s">
        <v>930</v>
      </c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>
      <c r="A820" s="16"/>
      <c r="B820" s="16"/>
      <c r="C820" s="46"/>
      <c r="D820" s="16"/>
      <c r="E820" s="16" t="s">
        <v>930</v>
      </c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>
      <c r="A821" s="16"/>
      <c r="B821" s="16"/>
      <c r="C821" s="46"/>
      <c r="D821" s="16"/>
      <c r="E821" s="16" t="s">
        <v>930</v>
      </c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>
      <c r="A822" s="16"/>
      <c r="B822" s="16"/>
      <c r="C822" s="46"/>
      <c r="D822" s="16"/>
      <c r="E822" s="16" t="s">
        <v>930</v>
      </c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>
      <c r="A823" s="16"/>
      <c r="B823" s="16"/>
      <c r="C823" s="46"/>
      <c r="D823" s="16"/>
      <c r="E823" s="16" t="s">
        <v>930</v>
      </c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>
      <c r="A824" s="16"/>
      <c r="B824" s="16"/>
      <c r="C824" s="46"/>
      <c r="D824" s="16"/>
      <c r="E824" s="16" t="s">
        <v>930</v>
      </c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>
      <c r="A825" s="16"/>
      <c r="B825" s="16"/>
      <c r="C825" s="46"/>
      <c r="D825" s="16"/>
      <c r="E825" s="16" t="s">
        <v>930</v>
      </c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>
      <c r="A826" s="16"/>
      <c r="B826" s="16"/>
      <c r="C826" s="46"/>
      <c r="D826" s="16"/>
      <c r="E826" s="16" t="s">
        <v>930</v>
      </c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>
      <c r="A827" s="16"/>
      <c r="B827" s="16"/>
      <c r="C827" s="46"/>
      <c r="D827" s="16"/>
      <c r="E827" s="16" t="s">
        <v>930</v>
      </c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>
      <c r="A828" s="16"/>
      <c r="B828" s="16"/>
      <c r="C828" s="46"/>
      <c r="D828" s="16"/>
      <c r="E828" s="16" t="s">
        <v>930</v>
      </c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>
      <c r="A829" s="16"/>
      <c r="B829" s="16"/>
      <c r="C829" s="46"/>
      <c r="D829" s="16"/>
      <c r="E829" s="16" t="s">
        <v>930</v>
      </c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>
      <c r="A830" s="16"/>
      <c r="B830" s="16"/>
      <c r="C830" s="46"/>
      <c r="D830" s="16"/>
      <c r="E830" s="16" t="s">
        <v>930</v>
      </c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>
      <c r="A831" s="16"/>
      <c r="B831" s="16"/>
      <c r="C831" s="46"/>
      <c r="D831" s="16"/>
      <c r="E831" s="16" t="s">
        <v>930</v>
      </c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>
      <c r="A832" s="16"/>
      <c r="B832" s="16"/>
      <c r="C832" s="46"/>
      <c r="D832" s="16"/>
      <c r="E832" s="16" t="s">
        <v>930</v>
      </c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>
      <c r="A833" s="16"/>
      <c r="B833" s="16"/>
      <c r="C833" s="46"/>
      <c r="D833" s="16"/>
      <c r="E833" s="16" t="s">
        <v>930</v>
      </c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>
      <c r="A834" s="16"/>
      <c r="B834" s="16"/>
      <c r="C834" s="46"/>
      <c r="D834" s="16"/>
      <c r="E834" s="16" t="s">
        <v>930</v>
      </c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>
      <c r="A835" s="16"/>
      <c r="B835" s="16"/>
      <c r="C835" s="46"/>
      <c r="D835" s="16"/>
      <c r="E835" s="16" t="s">
        <v>930</v>
      </c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>
      <c r="A836" s="16"/>
      <c r="B836" s="16"/>
      <c r="C836" s="46"/>
      <c r="D836" s="16"/>
      <c r="E836" s="16" t="s">
        <v>930</v>
      </c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>
      <c r="A837" s="16"/>
      <c r="B837" s="16"/>
      <c r="C837" s="46"/>
      <c r="D837" s="16"/>
      <c r="E837" s="16" t="s">
        <v>930</v>
      </c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>
      <c r="A838" s="16"/>
      <c r="B838" s="16"/>
      <c r="C838" s="46"/>
      <c r="D838" s="16"/>
      <c r="E838" s="16" t="s">
        <v>930</v>
      </c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>
      <c r="A839" s="16"/>
      <c r="B839" s="16"/>
      <c r="C839" s="46"/>
      <c r="D839" s="16"/>
      <c r="E839" s="16" t="s">
        <v>930</v>
      </c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>
      <c r="A840" s="16"/>
      <c r="B840" s="16"/>
      <c r="C840" s="46"/>
      <c r="D840" s="16"/>
      <c r="E840" s="16" t="s">
        <v>930</v>
      </c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>
      <c r="A841" s="16"/>
      <c r="B841" s="16"/>
      <c r="C841" s="46"/>
      <c r="D841" s="16"/>
      <c r="E841" s="16" t="s">
        <v>930</v>
      </c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>
      <c r="A842" s="16"/>
      <c r="B842" s="16"/>
      <c r="C842" s="46"/>
      <c r="D842" s="16"/>
      <c r="E842" s="16" t="s">
        <v>930</v>
      </c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>
      <c r="A843" s="16"/>
      <c r="B843" s="16"/>
      <c r="C843" s="46"/>
      <c r="D843" s="16"/>
      <c r="E843" s="16" t="s">
        <v>930</v>
      </c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>
      <c r="A844" s="16"/>
      <c r="B844" s="16"/>
      <c r="C844" s="46"/>
      <c r="D844" s="16"/>
      <c r="E844" s="16" t="s">
        <v>930</v>
      </c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>
      <c r="A845" s="16"/>
      <c r="B845" s="16"/>
      <c r="C845" s="46"/>
      <c r="D845" s="16"/>
      <c r="E845" s="16" t="s">
        <v>930</v>
      </c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>
      <c r="A846" s="16"/>
      <c r="B846" s="16"/>
      <c r="C846" s="46"/>
      <c r="D846" s="16"/>
      <c r="E846" s="16" t="s">
        <v>930</v>
      </c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>
      <c r="A847" s="16"/>
      <c r="B847" s="16"/>
      <c r="C847" s="46"/>
      <c r="D847" s="16"/>
      <c r="E847" s="16" t="s">
        <v>930</v>
      </c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>
      <c r="A848" s="16"/>
      <c r="B848" s="16"/>
      <c r="C848" s="46"/>
      <c r="D848" s="16"/>
      <c r="E848" s="16" t="s">
        <v>930</v>
      </c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>
      <c r="A849" s="16"/>
      <c r="B849" s="16"/>
      <c r="C849" s="46"/>
      <c r="D849" s="16"/>
      <c r="E849" s="16" t="s">
        <v>930</v>
      </c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>
      <c r="A850" s="16"/>
      <c r="B850" s="16"/>
      <c r="C850" s="46"/>
      <c r="D850" s="16"/>
      <c r="E850" s="16" t="s">
        <v>930</v>
      </c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>
      <c r="A851" s="16"/>
      <c r="B851" s="16"/>
      <c r="C851" s="46"/>
      <c r="D851" s="16"/>
      <c r="E851" s="16" t="s">
        <v>930</v>
      </c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>
      <c r="A852" s="16"/>
      <c r="B852" s="16"/>
      <c r="C852" s="46"/>
      <c r="D852" s="16"/>
      <c r="E852" s="16" t="s">
        <v>930</v>
      </c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>
      <c r="A853" s="16"/>
      <c r="B853" s="16"/>
      <c r="C853" s="46"/>
      <c r="D853" s="16"/>
      <c r="E853" s="16" t="s">
        <v>930</v>
      </c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>
      <c r="A854" s="16"/>
      <c r="B854" s="16"/>
      <c r="C854" s="46"/>
      <c r="D854" s="16"/>
      <c r="E854" s="16" t="s">
        <v>930</v>
      </c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>
      <c r="A855" s="16"/>
      <c r="B855" s="16"/>
      <c r="C855" s="46"/>
      <c r="D855" s="16"/>
      <c r="E855" s="16" t="s">
        <v>930</v>
      </c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>
      <c r="A856" s="16"/>
      <c r="B856" s="16"/>
      <c r="C856" s="46"/>
      <c r="D856" s="16"/>
      <c r="E856" s="16" t="s">
        <v>930</v>
      </c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>
      <c r="A857" s="16"/>
      <c r="B857" s="16"/>
      <c r="C857" s="46"/>
      <c r="D857" s="16"/>
      <c r="E857" s="16" t="s">
        <v>930</v>
      </c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>
      <c r="A858" s="16"/>
      <c r="B858" s="16"/>
      <c r="C858" s="46"/>
      <c r="D858" s="16"/>
      <c r="E858" s="16" t="s">
        <v>930</v>
      </c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>
      <c r="A859" s="16"/>
      <c r="B859" s="16"/>
      <c r="C859" s="46"/>
      <c r="D859" s="16"/>
      <c r="E859" s="16" t="s">
        <v>930</v>
      </c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>
      <c r="A860" s="16"/>
      <c r="B860" s="16"/>
      <c r="C860" s="46"/>
      <c r="D860" s="16"/>
      <c r="E860" s="16" t="s">
        <v>930</v>
      </c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>
      <c r="A861" s="16"/>
      <c r="B861" s="16"/>
      <c r="C861" s="46"/>
      <c r="D861" s="16"/>
      <c r="E861" s="16" t="s">
        <v>930</v>
      </c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>
      <c r="A862" s="16"/>
      <c r="B862" s="16"/>
      <c r="C862" s="46"/>
      <c r="D862" s="16"/>
      <c r="E862" s="16" t="s">
        <v>930</v>
      </c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>
      <c r="A863" s="16"/>
      <c r="B863" s="16"/>
      <c r="C863" s="46"/>
      <c r="D863" s="16"/>
      <c r="E863" s="16" t="s">
        <v>930</v>
      </c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>
      <c r="A864" s="16"/>
      <c r="B864" s="16"/>
      <c r="C864" s="46"/>
      <c r="D864" s="16"/>
      <c r="E864" s="16" t="s">
        <v>930</v>
      </c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>
      <c r="A865" s="16"/>
      <c r="B865" s="16"/>
      <c r="C865" s="46"/>
      <c r="D865" s="16"/>
      <c r="E865" s="16" t="s">
        <v>930</v>
      </c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>
      <c r="A866" s="16"/>
      <c r="B866" s="16"/>
      <c r="C866" s="46"/>
      <c r="D866" s="16"/>
      <c r="E866" s="16" t="s">
        <v>930</v>
      </c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>
      <c r="A867" s="16"/>
      <c r="B867" s="16"/>
      <c r="C867" s="46"/>
      <c r="D867" s="16"/>
      <c r="E867" s="16" t="s">
        <v>930</v>
      </c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>
      <c r="A868" s="16"/>
      <c r="B868" s="16"/>
      <c r="C868" s="46"/>
      <c r="D868" s="16"/>
      <c r="E868" s="16" t="s">
        <v>930</v>
      </c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>
      <c r="A869" s="16"/>
      <c r="B869" s="16"/>
      <c r="C869" s="46"/>
      <c r="D869" s="16"/>
      <c r="E869" s="16" t="s">
        <v>930</v>
      </c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>
      <c r="A870" s="16"/>
      <c r="B870" s="16"/>
      <c r="C870" s="46"/>
      <c r="D870" s="16"/>
      <c r="E870" s="16" t="s">
        <v>930</v>
      </c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>
      <c r="A871" s="16"/>
      <c r="B871" s="16"/>
      <c r="C871" s="46"/>
      <c r="D871" s="16"/>
      <c r="E871" s="16" t="s">
        <v>930</v>
      </c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>
      <c r="A872" s="16"/>
      <c r="B872" s="16"/>
      <c r="C872" s="46"/>
      <c r="D872" s="16"/>
      <c r="E872" s="16" t="s">
        <v>930</v>
      </c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>
      <c r="A873" s="16"/>
      <c r="B873" s="16"/>
      <c r="C873" s="46"/>
      <c r="D873" s="16"/>
      <c r="E873" s="16" t="s">
        <v>930</v>
      </c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>
      <c r="A874" s="16"/>
      <c r="B874" s="16"/>
      <c r="C874" s="46"/>
      <c r="D874" s="16"/>
      <c r="E874" s="16" t="s">
        <v>930</v>
      </c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>
      <c r="A875" s="16"/>
      <c r="B875" s="16"/>
      <c r="C875" s="46"/>
      <c r="D875" s="16"/>
      <c r="E875" s="16" t="s">
        <v>930</v>
      </c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>
      <c r="A876" s="16"/>
      <c r="B876" s="16"/>
      <c r="C876" s="46"/>
      <c r="D876" s="16"/>
      <c r="E876" s="16" t="s">
        <v>930</v>
      </c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>
      <c r="A877" s="16"/>
      <c r="B877" s="16"/>
      <c r="C877" s="46"/>
      <c r="D877" s="16"/>
      <c r="E877" s="16" t="s">
        <v>930</v>
      </c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>
      <c r="A878" s="16"/>
      <c r="B878" s="16"/>
      <c r="C878" s="46"/>
      <c r="D878" s="16"/>
      <c r="E878" s="16" t="s">
        <v>930</v>
      </c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>
      <c r="A879" s="16"/>
      <c r="B879" s="16"/>
      <c r="C879" s="46"/>
      <c r="D879" s="16"/>
      <c r="E879" s="16" t="s">
        <v>930</v>
      </c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>
      <c r="A880" s="16"/>
      <c r="B880" s="16"/>
      <c r="C880" s="46"/>
      <c r="D880" s="16"/>
      <c r="E880" s="16" t="s">
        <v>930</v>
      </c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>
      <c r="A881" s="16"/>
      <c r="B881" s="16"/>
      <c r="C881" s="46"/>
      <c r="D881" s="16"/>
      <c r="E881" s="16" t="s">
        <v>930</v>
      </c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>
      <c r="A882" s="16"/>
      <c r="B882" s="16"/>
      <c r="C882" s="46"/>
      <c r="D882" s="16"/>
      <c r="E882" s="16" t="s">
        <v>930</v>
      </c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>
      <c r="A883" s="16"/>
      <c r="B883" s="16"/>
      <c r="C883" s="46"/>
      <c r="D883" s="16"/>
      <c r="E883" s="16" t="s">
        <v>930</v>
      </c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>
      <c r="A884" s="16"/>
      <c r="B884" s="16"/>
      <c r="C884" s="46"/>
      <c r="D884" s="16"/>
      <c r="E884" s="16" t="s">
        <v>930</v>
      </c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>
      <c r="A885" s="16"/>
      <c r="B885" s="16"/>
      <c r="C885" s="46"/>
      <c r="D885" s="16"/>
      <c r="E885" s="16" t="s">
        <v>930</v>
      </c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>
      <c r="A886" s="16"/>
      <c r="B886" s="16"/>
      <c r="C886" s="46"/>
      <c r="D886" s="16"/>
      <c r="E886" s="16" t="s">
        <v>930</v>
      </c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>
      <c r="A887" s="16"/>
      <c r="B887" s="16"/>
      <c r="C887" s="46"/>
      <c r="D887" s="16"/>
      <c r="E887" s="16" t="s">
        <v>930</v>
      </c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>
      <c r="A888" s="16"/>
      <c r="B888" s="16"/>
      <c r="C888" s="46"/>
      <c r="D888" s="16"/>
      <c r="E888" s="16" t="s">
        <v>930</v>
      </c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>
      <c r="A889" s="16"/>
      <c r="B889" s="16"/>
      <c r="C889" s="46"/>
      <c r="D889" s="16"/>
      <c r="E889" s="16" t="s">
        <v>930</v>
      </c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>
      <c r="A890" s="16"/>
      <c r="B890" s="16"/>
      <c r="C890" s="46"/>
      <c r="D890" s="16"/>
      <c r="E890" s="16" t="s">
        <v>930</v>
      </c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>
      <c r="A891" s="16"/>
      <c r="B891" s="16"/>
      <c r="C891" s="46"/>
      <c r="D891" s="16"/>
      <c r="E891" s="16" t="s">
        <v>930</v>
      </c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>
      <c r="A892" s="16"/>
      <c r="B892" s="16"/>
      <c r="C892" s="46"/>
      <c r="D892" s="16"/>
      <c r="E892" s="16" t="s">
        <v>930</v>
      </c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>
      <c r="A893" s="16"/>
      <c r="B893" s="16"/>
      <c r="C893" s="46"/>
      <c r="D893" s="16"/>
      <c r="E893" s="16" t="s">
        <v>930</v>
      </c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>
      <c r="A894" s="16"/>
      <c r="B894" s="16"/>
      <c r="C894" s="46"/>
      <c r="D894" s="16"/>
      <c r="E894" s="16" t="s">
        <v>930</v>
      </c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>
      <c r="A895" s="16"/>
      <c r="B895" s="16"/>
      <c r="C895" s="46"/>
      <c r="D895" s="16"/>
      <c r="E895" s="16" t="s">
        <v>930</v>
      </c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>
      <c r="A896" s="16"/>
      <c r="B896" s="16"/>
      <c r="C896" s="46"/>
      <c r="D896" s="16"/>
      <c r="E896" s="16" t="s">
        <v>930</v>
      </c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>
      <c r="A897" s="16"/>
      <c r="B897" s="16"/>
      <c r="C897" s="46"/>
      <c r="D897" s="16"/>
      <c r="E897" s="16" t="s">
        <v>930</v>
      </c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>
      <c r="A898" s="16"/>
      <c r="B898" s="16"/>
      <c r="C898" s="46"/>
      <c r="D898" s="16"/>
      <c r="E898" s="16" t="s">
        <v>930</v>
      </c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>
      <c r="A899" s="16"/>
      <c r="B899" s="16"/>
      <c r="C899" s="46"/>
      <c r="D899" s="16"/>
      <c r="E899" s="16" t="s">
        <v>930</v>
      </c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>
      <c r="A900" s="16"/>
      <c r="B900" s="16"/>
      <c r="C900" s="46"/>
      <c r="D900" s="16"/>
      <c r="E900" s="16" t="s">
        <v>930</v>
      </c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>
      <c r="A901" s="16"/>
      <c r="B901" s="16"/>
      <c r="C901" s="46"/>
      <c r="D901" s="16"/>
      <c r="E901" s="16" t="s">
        <v>930</v>
      </c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>
      <c r="A902" s="16"/>
      <c r="B902" s="16"/>
      <c r="C902" s="46"/>
      <c r="D902" s="16"/>
      <c r="E902" s="16" t="s">
        <v>930</v>
      </c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>
      <c r="A903" s="16"/>
      <c r="B903" s="16"/>
      <c r="C903" s="46"/>
      <c r="D903" s="16"/>
      <c r="E903" s="16" t="s">
        <v>930</v>
      </c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>
      <c r="A904" s="16"/>
      <c r="B904" s="16"/>
      <c r="C904" s="46"/>
      <c r="D904" s="16"/>
      <c r="E904" s="16" t="s">
        <v>930</v>
      </c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>
      <c r="A905" s="16"/>
      <c r="B905" s="16"/>
      <c r="C905" s="46"/>
      <c r="D905" s="16"/>
      <c r="E905" s="16" t="s">
        <v>930</v>
      </c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>
      <c r="A906" s="16"/>
      <c r="B906" s="16"/>
      <c r="C906" s="46"/>
      <c r="D906" s="16"/>
      <c r="E906" s="16" t="s">
        <v>930</v>
      </c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>
      <c r="A907" s="16"/>
      <c r="B907" s="16"/>
      <c r="C907" s="46"/>
      <c r="D907" s="16"/>
      <c r="E907" s="16" t="s">
        <v>930</v>
      </c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>
      <c r="A908" s="16"/>
      <c r="B908" s="16"/>
      <c r="C908" s="46"/>
      <c r="D908" s="16"/>
      <c r="E908" s="16" t="s">
        <v>930</v>
      </c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>
      <c r="A909" s="16"/>
      <c r="B909" s="16"/>
      <c r="C909" s="46"/>
      <c r="D909" s="16"/>
      <c r="E909" s="16" t="s">
        <v>930</v>
      </c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>
      <c r="A910" s="16"/>
      <c r="B910" s="16"/>
      <c r="C910" s="46"/>
      <c r="D910" s="16"/>
      <c r="E910" s="16" t="s">
        <v>930</v>
      </c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>
      <c r="A911" s="16"/>
      <c r="B911" s="16"/>
      <c r="C911" s="46"/>
      <c r="D911" s="16"/>
      <c r="E911" s="16" t="s">
        <v>930</v>
      </c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>
      <c r="A912" s="16"/>
      <c r="B912" s="16"/>
      <c r="C912" s="46"/>
      <c r="D912" s="16"/>
      <c r="E912" s="16" t="s">
        <v>930</v>
      </c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>
      <c r="A913" s="16"/>
      <c r="B913" s="16"/>
      <c r="C913" s="46"/>
      <c r="D913" s="16"/>
      <c r="E913" s="16" t="s">
        <v>930</v>
      </c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>
      <c r="A914" s="16"/>
      <c r="B914" s="16"/>
      <c r="C914" s="46"/>
      <c r="D914" s="16"/>
      <c r="E914" s="16" t="s">
        <v>930</v>
      </c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>
      <c r="A915" s="16"/>
      <c r="B915" s="16"/>
      <c r="C915" s="46"/>
      <c r="D915" s="16"/>
      <c r="E915" s="16" t="s">
        <v>930</v>
      </c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>
      <c r="A916" s="16"/>
      <c r="B916" s="16"/>
      <c r="C916" s="46"/>
      <c r="D916" s="16"/>
      <c r="E916" s="16" t="s">
        <v>930</v>
      </c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>
      <c r="A917" s="16"/>
      <c r="B917" s="16"/>
      <c r="C917" s="46"/>
      <c r="D917" s="16"/>
      <c r="E917" s="16" t="s">
        <v>930</v>
      </c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>
      <c r="A918" s="16"/>
      <c r="B918" s="16"/>
      <c r="C918" s="46"/>
      <c r="D918" s="16"/>
      <c r="E918" s="16" t="s">
        <v>930</v>
      </c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>
      <c r="A919" s="16"/>
      <c r="B919" s="16"/>
      <c r="C919" s="46"/>
      <c r="D919" s="16"/>
      <c r="E919" s="16" t="s">
        <v>930</v>
      </c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>
      <c r="A920" s="16"/>
      <c r="B920" s="16"/>
      <c r="C920" s="46"/>
      <c r="D920" s="16"/>
      <c r="E920" s="16" t="s">
        <v>930</v>
      </c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>
      <c r="A921" s="16"/>
      <c r="B921" s="16"/>
      <c r="C921" s="46"/>
      <c r="D921" s="16"/>
      <c r="E921" s="16" t="s">
        <v>930</v>
      </c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>
      <c r="A922" s="16"/>
      <c r="B922" s="16"/>
      <c r="C922" s="46"/>
      <c r="D922" s="16"/>
      <c r="E922" s="16" t="s">
        <v>930</v>
      </c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>
      <c r="A923" s="16"/>
      <c r="B923" s="16"/>
      <c r="C923" s="46"/>
      <c r="D923" s="16"/>
      <c r="E923" s="16" t="s">
        <v>930</v>
      </c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>
      <c r="A924" s="16"/>
      <c r="B924" s="16"/>
      <c r="C924" s="46"/>
      <c r="D924" s="16"/>
      <c r="E924" s="16" t="s">
        <v>930</v>
      </c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>
      <c r="A925" s="16"/>
      <c r="B925" s="16"/>
      <c r="C925" s="46"/>
      <c r="D925" s="16"/>
      <c r="E925" s="16" t="s">
        <v>930</v>
      </c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>
      <c r="A926" s="16"/>
      <c r="B926" s="16"/>
      <c r="C926" s="46"/>
      <c r="D926" s="16"/>
      <c r="E926" s="16" t="s">
        <v>930</v>
      </c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>
      <c r="A927" s="16"/>
      <c r="B927" s="16"/>
      <c r="C927" s="46"/>
      <c r="D927" s="16"/>
      <c r="E927" s="16" t="s">
        <v>930</v>
      </c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>
      <c r="A928" s="16"/>
      <c r="B928" s="16"/>
      <c r="C928" s="46"/>
      <c r="D928" s="16"/>
      <c r="E928" s="16" t="s">
        <v>930</v>
      </c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>
      <c r="A929" s="16"/>
      <c r="B929" s="16"/>
      <c r="C929" s="46"/>
      <c r="D929" s="16"/>
      <c r="E929" s="16" t="s">
        <v>930</v>
      </c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>
      <c r="A930" s="16"/>
      <c r="B930" s="16"/>
      <c r="C930" s="46"/>
      <c r="D930" s="16"/>
      <c r="E930" s="16" t="s">
        <v>930</v>
      </c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>
      <c r="A931" s="16"/>
      <c r="B931" s="16"/>
      <c r="C931" s="46"/>
      <c r="D931" s="16"/>
      <c r="E931" s="16" t="s">
        <v>930</v>
      </c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>
      <c r="A932" s="16"/>
      <c r="B932" s="16"/>
      <c r="C932" s="46"/>
      <c r="D932" s="16"/>
      <c r="E932" s="16" t="s">
        <v>930</v>
      </c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>
      <c r="A933" s="16"/>
      <c r="B933" s="16"/>
      <c r="C933" s="46"/>
      <c r="D933" s="16"/>
      <c r="E933" s="16" t="s">
        <v>930</v>
      </c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>
      <c r="A934" s="16"/>
      <c r="B934" s="16"/>
      <c r="C934" s="46"/>
      <c r="D934" s="16"/>
      <c r="E934" s="16" t="s">
        <v>930</v>
      </c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>
      <c r="A935" s="16"/>
      <c r="B935" s="16"/>
      <c r="C935" s="46"/>
      <c r="D935" s="16"/>
      <c r="E935" s="16" t="s">
        <v>930</v>
      </c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>
      <c r="A936" s="16"/>
      <c r="B936" s="16"/>
      <c r="C936" s="46"/>
      <c r="D936" s="16"/>
      <c r="E936" s="16" t="s">
        <v>930</v>
      </c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>
      <c r="A937" s="16"/>
      <c r="B937" s="16"/>
      <c r="C937" s="46"/>
      <c r="D937" s="16"/>
      <c r="E937" s="16" t="s">
        <v>930</v>
      </c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>
      <c r="A938" s="16"/>
      <c r="B938" s="16"/>
      <c r="C938" s="46"/>
      <c r="D938" s="16"/>
      <c r="E938" s="16" t="s">
        <v>930</v>
      </c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>
      <c r="A939" s="16"/>
      <c r="B939" s="16"/>
      <c r="C939" s="46"/>
      <c r="D939" s="16"/>
      <c r="E939" s="16" t="s">
        <v>930</v>
      </c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>
      <c r="A940" s="16"/>
      <c r="B940" s="16"/>
      <c r="C940" s="46"/>
      <c r="D940" s="16"/>
      <c r="E940" s="16" t="s">
        <v>930</v>
      </c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>
      <c r="A941" s="16"/>
      <c r="B941" s="16"/>
      <c r="C941" s="46"/>
      <c r="D941" s="16"/>
      <c r="E941" s="16" t="s">
        <v>930</v>
      </c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>
      <c r="A942" s="16"/>
      <c r="B942" s="16"/>
      <c r="C942" s="46"/>
      <c r="D942" s="16"/>
      <c r="E942" s="16" t="s">
        <v>930</v>
      </c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>
      <c r="A943" s="16"/>
      <c r="B943" s="16"/>
      <c r="C943" s="46"/>
      <c r="D943" s="16"/>
      <c r="E943" s="16" t="s">
        <v>930</v>
      </c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>
      <c r="A944" s="16"/>
      <c r="B944" s="16"/>
      <c r="C944" s="46"/>
      <c r="D944" s="16"/>
      <c r="E944" s="16" t="s">
        <v>930</v>
      </c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>
      <c r="A945" s="16"/>
      <c r="B945" s="16"/>
      <c r="C945" s="46"/>
      <c r="D945" s="16"/>
      <c r="E945" s="16" t="s">
        <v>930</v>
      </c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>
      <c r="A946" s="16"/>
      <c r="B946" s="16"/>
      <c r="C946" s="46"/>
      <c r="D946" s="16"/>
      <c r="E946" s="16" t="s">
        <v>930</v>
      </c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>
      <c r="A947" s="16"/>
      <c r="B947" s="16"/>
      <c r="C947" s="46"/>
      <c r="D947" s="16"/>
      <c r="E947" s="16" t="s">
        <v>930</v>
      </c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>
      <c r="A948" s="16"/>
      <c r="B948" s="16"/>
      <c r="C948" s="46"/>
      <c r="D948" s="16"/>
      <c r="E948" s="16" t="s">
        <v>930</v>
      </c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>
      <c r="A949" s="16"/>
      <c r="B949" s="16"/>
      <c r="C949" s="46"/>
      <c r="D949" s="16"/>
      <c r="E949" s="16" t="s">
        <v>930</v>
      </c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>
      <c r="A950" s="16"/>
      <c r="B950" s="16"/>
      <c r="C950" s="46"/>
      <c r="D950" s="16"/>
      <c r="E950" s="16" t="s">
        <v>930</v>
      </c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>
      <c r="A951" s="16"/>
      <c r="B951" s="16"/>
      <c r="C951" s="46"/>
      <c r="D951" s="16"/>
      <c r="E951" s="16" t="s">
        <v>930</v>
      </c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>
      <c r="A952" s="16"/>
      <c r="B952" s="16"/>
      <c r="C952" s="46"/>
      <c r="D952" s="16"/>
      <c r="E952" s="16" t="s">
        <v>930</v>
      </c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>
      <c r="A953" s="16"/>
      <c r="B953" s="16"/>
      <c r="C953" s="46"/>
      <c r="D953" s="16"/>
      <c r="E953" s="16" t="s">
        <v>930</v>
      </c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>
      <c r="A954" s="16"/>
      <c r="B954" s="16"/>
      <c r="C954" s="46"/>
      <c r="D954" s="16"/>
      <c r="E954" s="16" t="s">
        <v>930</v>
      </c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>
      <c r="A955" s="16"/>
      <c r="B955" s="16"/>
      <c r="C955" s="46"/>
      <c r="D955" s="16"/>
      <c r="E955" s="16" t="s">
        <v>930</v>
      </c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>
      <c r="A956" s="16"/>
      <c r="B956" s="16"/>
      <c r="C956" s="46"/>
      <c r="D956" s="16"/>
      <c r="E956" s="16" t="s">
        <v>930</v>
      </c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>
      <c r="A957" s="16"/>
      <c r="B957" s="16"/>
      <c r="C957" s="46"/>
      <c r="D957" s="16"/>
      <c r="E957" s="16" t="s">
        <v>930</v>
      </c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>
      <c r="A958" s="16"/>
      <c r="B958" s="16"/>
      <c r="C958" s="46"/>
      <c r="D958" s="16"/>
      <c r="E958" s="16" t="s">
        <v>930</v>
      </c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>
      <c r="A959" s="16"/>
      <c r="B959" s="16"/>
      <c r="C959" s="46"/>
      <c r="D959" s="16"/>
      <c r="E959" s="16" t="s">
        <v>930</v>
      </c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>
      <c r="A960" s="16"/>
      <c r="B960" s="16"/>
      <c r="C960" s="46"/>
      <c r="D960" s="16"/>
      <c r="E960" s="16" t="s">
        <v>930</v>
      </c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>
      <c r="A961" s="16"/>
      <c r="B961" s="16"/>
      <c r="C961" s="46"/>
      <c r="D961" s="16"/>
      <c r="E961" s="16" t="s">
        <v>930</v>
      </c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>
      <c r="A962" s="16"/>
      <c r="B962" s="16"/>
      <c r="C962" s="46"/>
      <c r="D962" s="16"/>
      <c r="E962" s="16" t="s">
        <v>930</v>
      </c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>
      <c r="A963" s="16"/>
      <c r="B963" s="16"/>
      <c r="C963" s="46"/>
      <c r="D963" s="16"/>
      <c r="E963" s="16" t="s">
        <v>930</v>
      </c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>
      <c r="A964" s="16"/>
      <c r="B964" s="16"/>
      <c r="C964" s="46"/>
      <c r="D964" s="16"/>
      <c r="E964" s="16" t="s">
        <v>930</v>
      </c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>
      <c r="A965" s="16"/>
      <c r="B965" s="16"/>
      <c r="C965" s="46"/>
      <c r="D965" s="16"/>
      <c r="E965" s="16" t="s">
        <v>930</v>
      </c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>
      <c r="A966" s="16"/>
      <c r="B966" s="16"/>
      <c r="C966" s="46"/>
      <c r="D966" s="16"/>
      <c r="E966" s="16" t="s">
        <v>930</v>
      </c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>
      <c r="A967" s="16"/>
      <c r="B967" s="16"/>
      <c r="C967" s="46"/>
      <c r="D967" s="16"/>
      <c r="E967" s="16" t="s">
        <v>930</v>
      </c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>
      <c r="A968" s="16"/>
      <c r="B968" s="16"/>
      <c r="C968" s="46"/>
      <c r="D968" s="16"/>
      <c r="E968" s="16" t="s">
        <v>930</v>
      </c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>
      <c r="A969" s="16"/>
      <c r="B969" s="16"/>
      <c r="C969" s="46"/>
      <c r="D969" s="16"/>
      <c r="E969" s="16" t="s">
        <v>930</v>
      </c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>
      <c r="A970" s="16"/>
      <c r="B970" s="16"/>
      <c r="C970" s="46"/>
      <c r="D970" s="16"/>
      <c r="E970" s="16" t="s">
        <v>930</v>
      </c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>
      <c r="A971" s="16"/>
      <c r="B971" s="16"/>
      <c r="C971" s="46"/>
      <c r="D971" s="16"/>
      <c r="E971" s="16" t="s">
        <v>930</v>
      </c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>
      <c r="A972" s="16"/>
      <c r="B972" s="16"/>
      <c r="C972" s="46"/>
      <c r="D972" s="16"/>
      <c r="E972" s="16" t="s">
        <v>930</v>
      </c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>
      <c r="A973" s="16"/>
      <c r="B973" s="16"/>
      <c r="C973" s="46"/>
      <c r="D973" s="16"/>
      <c r="E973" s="16" t="s">
        <v>930</v>
      </c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>
      <c r="A974" s="16"/>
      <c r="B974" s="16"/>
      <c r="C974" s="46"/>
      <c r="D974" s="16"/>
      <c r="E974" s="16" t="s">
        <v>930</v>
      </c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>
      <c r="A975" s="16"/>
      <c r="B975" s="16"/>
      <c r="C975" s="46"/>
      <c r="D975" s="16"/>
      <c r="E975" s="16" t="s">
        <v>930</v>
      </c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>
      <c r="A976" s="16"/>
      <c r="B976" s="16"/>
      <c r="C976" s="46"/>
      <c r="D976" s="16"/>
      <c r="E976" s="16" t="s">
        <v>930</v>
      </c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>
      <c r="A977" s="16"/>
      <c r="B977" s="16"/>
      <c r="C977" s="46"/>
      <c r="D977" s="16"/>
      <c r="E977" s="16" t="s">
        <v>930</v>
      </c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>
      <c r="A978" s="16"/>
      <c r="B978" s="16"/>
      <c r="C978" s="46"/>
      <c r="D978" s="16"/>
      <c r="E978" s="16" t="s">
        <v>930</v>
      </c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>
      <c r="A979" s="16"/>
      <c r="B979" s="16"/>
      <c r="C979" s="46"/>
      <c r="D979" s="16"/>
      <c r="E979" s="16" t="s">
        <v>930</v>
      </c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>
      <c r="A980" s="16"/>
      <c r="B980" s="16"/>
      <c r="C980" s="46"/>
      <c r="D980" s="16"/>
      <c r="E980" s="16" t="s">
        <v>930</v>
      </c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>
      <c r="A981" s="16"/>
      <c r="B981" s="16"/>
      <c r="C981" s="46"/>
      <c r="D981" s="16"/>
      <c r="E981" s="16" t="s">
        <v>930</v>
      </c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>
      <c r="A982" s="16"/>
      <c r="B982" s="16"/>
      <c r="C982" s="46"/>
      <c r="D982" s="16"/>
      <c r="E982" s="16" t="s">
        <v>930</v>
      </c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>
      <c r="A983" s="16"/>
      <c r="B983" s="16"/>
      <c r="C983" s="46"/>
      <c r="D983" s="16"/>
      <c r="E983" s="16" t="s">
        <v>930</v>
      </c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>
      <c r="A984" s="16"/>
      <c r="B984" s="16"/>
      <c r="C984" s="46"/>
      <c r="D984" s="16"/>
      <c r="E984" s="16" t="s">
        <v>930</v>
      </c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>
      <c r="A985" s="16"/>
      <c r="B985" s="16"/>
      <c r="C985" s="46"/>
      <c r="D985" s="16"/>
      <c r="E985" s="16" t="s">
        <v>930</v>
      </c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>
      <c r="A986" s="16"/>
      <c r="B986" s="16"/>
      <c r="C986" s="46"/>
      <c r="D986" s="16"/>
      <c r="E986" s="16" t="s">
        <v>930</v>
      </c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>
      <c r="A987" s="16"/>
      <c r="B987" s="16"/>
      <c r="C987" s="46"/>
      <c r="D987" s="16"/>
      <c r="E987" s="16" t="s">
        <v>930</v>
      </c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>
      <c r="A988" s="16"/>
      <c r="B988" s="16"/>
      <c r="C988" s="46"/>
      <c r="D988" s="16"/>
      <c r="E988" s="16" t="s">
        <v>930</v>
      </c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>
      <c r="A989" s="16"/>
      <c r="B989" s="16"/>
      <c r="C989" s="46"/>
      <c r="D989" s="16"/>
      <c r="E989" s="16" t="s">
        <v>930</v>
      </c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>
      <c r="A990" s="16"/>
      <c r="B990" s="16"/>
      <c r="C990" s="46"/>
      <c r="D990" s="16"/>
      <c r="E990" s="16" t="s">
        <v>930</v>
      </c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>
      <c r="A991" s="16"/>
      <c r="B991" s="16"/>
      <c r="C991" s="46"/>
      <c r="D991" s="16"/>
      <c r="E991" s="16" t="s">
        <v>930</v>
      </c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>
      <c r="A992" s="16"/>
      <c r="B992" s="16"/>
      <c r="C992" s="46"/>
      <c r="D992" s="16"/>
      <c r="E992" s="16" t="s">
        <v>930</v>
      </c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>
      <c r="A993" s="16"/>
      <c r="B993" s="16"/>
      <c r="C993" s="46"/>
      <c r="D993" s="16"/>
      <c r="E993" s="16" t="s">
        <v>930</v>
      </c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>
      <c r="A994" s="16"/>
      <c r="B994" s="16"/>
      <c r="C994" s="46"/>
      <c r="D994" s="16"/>
      <c r="E994" s="16" t="s">
        <v>930</v>
      </c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>
      <c r="A995" s="16"/>
      <c r="B995" s="16"/>
      <c r="C995" s="46"/>
      <c r="D995" s="16"/>
      <c r="E995" s="16" t="s">
        <v>930</v>
      </c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>
      <c r="A996" s="16"/>
      <c r="B996" s="16"/>
      <c r="C996" s="46"/>
      <c r="D996" s="16"/>
      <c r="E996" s="16" t="s">
        <v>930</v>
      </c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>
      <c r="A997" s="16"/>
      <c r="B997" s="16"/>
      <c r="C997" s="46"/>
      <c r="D997" s="16"/>
      <c r="E997" s="16" t="s">
        <v>930</v>
      </c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>
      <c r="A998" s="16"/>
      <c r="B998" s="16"/>
      <c r="C998" s="46"/>
      <c r="D998" s="16"/>
      <c r="E998" s="16" t="s">
        <v>930</v>
      </c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>
      <c r="A999" s="16"/>
      <c r="B999" s="16"/>
      <c r="C999" s="46"/>
      <c r="D999" s="16"/>
      <c r="E999" s="16" t="s">
        <v>930</v>
      </c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>
      <c r="A1000" s="16"/>
      <c r="B1000" s="16"/>
      <c r="C1000" s="46"/>
      <c r="D1000" s="16"/>
      <c r="E1000" s="16" t="s">
        <v>930</v>
      </c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  <row r="1001">
      <c r="A1001" s="16"/>
      <c r="B1001" s="16"/>
      <c r="C1001" s="46"/>
      <c r="D1001" s="16"/>
      <c r="E1001" s="16" t="s">
        <v>930</v>
      </c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</row>
    <row r="1002">
      <c r="A1002" s="16"/>
      <c r="B1002" s="16"/>
      <c r="C1002" s="46"/>
      <c r="D1002" s="16"/>
      <c r="E1002" s="16" t="s">
        <v>930</v>
      </c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</row>
  </sheetData>
  <drawing r:id="rId1"/>
</worksheet>
</file>